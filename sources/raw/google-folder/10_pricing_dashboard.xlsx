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_Metric" sheetId="1" state="visible" r:id="rId1"/>
    <sheet xmlns:r="http://schemas.openxmlformats.org/officeDocument/2006/relationships" name="Offer_Ladder" sheetId="2" state="visible" r:id="rId2"/>
    <sheet xmlns:r="http://schemas.openxmlformats.org/officeDocument/2006/relationships" name="ROI_Anchors" sheetId="3" state="visible" r:id="rId3"/>
    <sheet xmlns:r="http://schemas.openxmlformats.org/officeDocument/2006/relationships" name="Funnel_Economics" sheetId="4" state="visible" r:id="rId4"/>
    <sheet xmlns:r="http://schemas.openxmlformats.org/officeDocument/2006/relationships" name="Sources" sheetId="5" state="visible" r:id="rId5"/>
    <sheet xmlns:r="http://schemas.openxmlformats.org/officeDocument/2006/relationships" name="ROI_Calculator" sheetId="6" state="visible" r:id="rId6"/>
    <sheet xmlns:r="http://schemas.openxmlformats.org/officeDocument/2006/relationships" name="Legend" sheetId="7" state="visible" r:id="rId7"/>
  </sheets>
  <definedNames>
    <definedName name="_xlnm._FilterDatabase" localSheetId="0" hidden="1">'Value_Metric'!$A$5:$E$11</definedName>
    <definedName name="_xlnm.Print_Titles" localSheetId="0">'Value_Metric'!$5:$5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$#,##0"/>
    <numFmt numFmtId="166" formatCode="0.0%"/>
    <numFmt numFmtId="167" formatCode="$#,##0&quot; one-time&quot;"/>
    <numFmt numFmtId="168" formatCode="0.0&quot;x&quot;"/>
  </numFmts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E6F8E"/>
      <sz val="9"/>
    </font>
    <font>
      <name val="Arial"/>
      <b val="1"/>
      <color rgb="000A1A33"/>
      <sz val="13"/>
    </font>
    <font>
      <name val="Arial"/>
      <b val="1"/>
      <color rgb="00FFFFFF"/>
      <sz val="10"/>
    </font>
    <font>
      <name val="Arial"/>
      <b val="1"/>
      <color rgb="000A1A33"/>
      <sz val="10"/>
    </font>
    <font>
      <name val="Arial"/>
      <color rgb="001B2A44"/>
      <sz val="10"/>
    </font>
    <font>
      <name val="Arial"/>
      <b val="1"/>
      <color rgb="001B2A44"/>
      <sz val="10"/>
    </font>
    <font>
      <name val="Arial"/>
      <color rgb="000000FF"/>
      <sz val="10"/>
    </font>
    <font>
      <name val="Arial"/>
      <b val="1"/>
      <color rgb="000A1A33"/>
      <sz val="12"/>
    </font>
    <font>
      <name val="Arial"/>
      <b val="1"/>
      <i val="1"/>
      <color rgb="007A5B00"/>
      <sz val="10"/>
    </font>
    <font>
      <name val="Arial"/>
      <b val="1"/>
      <color rgb="008A3B00"/>
      <sz val="10"/>
    </font>
    <font>
      <name val="Arial"/>
      <b val="1"/>
      <color rgb="004B2A99"/>
      <sz val="10"/>
    </font>
    <font>
      <name val="Arial"/>
      <b val="1"/>
      <color rgb="004A5568"/>
      <sz val="10"/>
    </font>
    <font>
      <name val="Arial"/>
      <b val="1"/>
      <color rgb="000B5D2A"/>
      <sz val="10"/>
    </font>
    <font>
      <name val="Arial"/>
      <b val="1"/>
      <color rgb="001E6B3A"/>
      <sz val="10"/>
    </font>
    <font>
      <name val="Arial"/>
      <b val="1"/>
      <color rgb="006B5300"/>
      <sz val="10"/>
    </font>
    <font>
      <name val="Arial"/>
      <b val="1"/>
      <color rgb="007A4100"/>
      <sz val="10"/>
    </font>
    <font>
      <name val="Arial"/>
      <b val="1"/>
      <color rgb="008A1C1C"/>
      <sz val="10"/>
    </font>
  </fonts>
  <fills count="19">
    <fill>
      <patternFill/>
    </fill>
    <fill>
      <patternFill patternType="gray125"/>
    </fill>
    <fill>
      <patternFill patternType="solid">
        <fgColor rgb="000A1A33"/>
        <bgColor rgb="000A1A33"/>
      </patternFill>
    </fill>
    <fill>
      <patternFill patternType="solid">
        <fgColor rgb="00E3EBF8"/>
        <bgColor rgb="00E3EBF8"/>
      </patternFill>
    </fill>
    <fill>
      <patternFill patternType="solid">
        <fgColor rgb="001A5CF0"/>
        <bgColor rgb="001A5CF0"/>
      </patternFill>
    </fill>
    <fill>
      <patternFill patternType="solid">
        <fgColor rgb="00FFFFFF"/>
        <bgColor rgb="00FFFFFF"/>
      </patternFill>
    </fill>
    <fill>
      <patternFill patternType="solid">
        <fgColor rgb="00F5F8FD"/>
        <bgColor rgb="00F5F8FD"/>
      </patternFill>
    </fill>
    <fill>
      <patternFill patternType="solid">
        <fgColor rgb="00FFF9DB"/>
        <bgColor rgb="00FFF9DB"/>
      </patternFill>
    </fill>
    <fill>
      <patternFill patternType="solid">
        <fgColor rgb="00DCEBFF"/>
        <bgColor rgb="00DCEBFF"/>
      </patternFill>
    </fill>
    <fill>
      <patternFill patternType="solid">
        <fgColor rgb="00FFF6CC"/>
        <bgColor rgb="00FFF6CC"/>
      </patternFill>
    </fill>
    <fill>
      <patternFill patternType="solid">
        <fgColor rgb="00FFEEDD"/>
        <bgColor rgb="00FFEEDD"/>
      </patternFill>
    </fill>
    <fill>
      <patternFill patternType="solid">
        <fgColor rgb="00E6DBFF"/>
        <bgColor rgb="00E6DBFF"/>
      </patternFill>
    </fill>
    <fill>
      <patternFill patternType="solid">
        <fgColor rgb="00FFD9B8"/>
        <bgColor rgb="00FFD9B8"/>
      </patternFill>
    </fill>
    <fill>
      <patternFill patternType="solid">
        <fgColor rgb="00E7EBF1"/>
        <bgColor rgb="00E7EBF1"/>
      </patternFill>
    </fill>
    <fill>
      <patternFill patternType="solid">
        <fgColor rgb="00B7EBC9"/>
        <bgColor rgb="00B7EBC9"/>
      </patternFill>
    </fill>
    <fill>
      <patternFill patternType="solid">
        <fgColor rgb="00DDF5E5"/>
        <bgColor rgb="00DDF5E5"/>
      </patternFill>
    </fill>
    <fill>
      <patternFill patternType="solid">
        <fgColor rgb="00FFF1BF"/>
        <bgColor rgb="00FFF1BF"/>
      </patternFill>
    </fill>
    <fill>
      <patternFill patternType="solid">
        <fgColor rgb="00FFDDB0"/>
        <bgColor rgb="00FFDDB0"/>
      </patternFill>
    </fill>
    <fill>
      <patternFill patternType="solid">
        <fgColor rgb="00FFCFCF"/>
        <bgColor rgb="00FFCFCF"/>
      </patternFill>
    </fill>
  </fills>
  <borders count="4">
    <border>
      <left/>
      <right/>
      <top/>
      <bottom/>
      <diagonal/>
    </border>
    <border>
      <bottom style="medium">
        <color rgb="001A5CF0"/>
      </bottom>
    </border>
    <border>
      <left style="thin">
        <color rgb="00C9D5EA"/>
      </left>
      <right style="thin">
        <color rgb="00C9D5EA"/>
      </right>
      <top style="thin">
        <color rgb="00C9D5EA"/>
      </top>
      <bottom style="thin">
        <color rgb="00C9D5EA"/>
      </bottom>
    </border>
    <border>
      <left style="thin">
        <color rgb="00C9D5EA"/>
      </left>
      <right style="thin">
        <color rgb="00C9D5EA"/>
      </right>
      <top style="medium">
        <color rgb="000A1A33"/>
      </top>
      <bottom style="thin">
        <color rgb="00C9D5EA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3" borderId="0" applyAlignment="1" pivotButton="0" quotePrefix="0" xfId="0">
      <alignment vertical="center" indent="1"/>
    </xf>
    <xf numFmtId="0" fontId="3" fillId="0" borderId="1" applyAlignment="1" pivotButton="0" quotePrefix="0" xfId="0">
      <alignment vertical="center"/>
    </xf>
    <xf numFmtId="0" fontId="0" fillId="0" borderId="1" pivotButton="0" quotePrefix="0" xfId="0"/>
    <xf numFmtId="0" fontId="4" fillId="4" borderId="2" applyAlignment="1" pivotButton="0" quotePrefix="0" xfId="0">
      <alignment vertical="center" wrapText="1"/>
    </xf>
    <xf numFmtId="0" fontId="5" fillId="5" borderId="2" applyAlignment="1" pivotButton="0" quotePrefix="0" xfId="0">
      <alignment vertical="top" wrapText="1"/>
    </xf>
    <xf numFmtId="0" fontId="6" fillId="5" borderId="2" applyAlignment="1" pivotButton="0" quotePrefix="0" xfId="0">
      <alignment vertical="top" wrapText="1"/>
    </xf>
    <xf numFmtId="164" fontId="6" fillId="5" borderId="2" applyAlignment="1" pivotButton="0" quotePrefix="0" xfId="0">
      <alignment horizontal="center" vertical="top" wrapText="1"/>
    </xf>
    <xf numFmtId="0" fontId="5" fillId="6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164" fontId="6" fillId="6" borderId="2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 indent="1"/>
    </xf>
    <xf numFmtId="0" fontId="6" fillId="0" borderId="0" applyAlignment="1" pivotButton="0" quotePrefix="0" xfId="0">
      <alignment vertical="top" wrapText="1"/>
    </xf>
    <xf numFmtId="165" fontId="6" fillId="6" borderId="2" applyAlignment="1" pivotButton="0" quotePrefix="0" xfId="0">
      <alignment horizontal="center" vertical="top" wrapText="1"/>
    </xf>
    <xf numFmtId="165" fontId="6" fillId="5" borderId="2" applyAlignment="1" pivotButton="0" quotePrefix="0" xfId="0">
      <alignment horizontal="center" vertical="top" wrapText="1"/>
    </xf>
    <xf numFmtId="166" fontId="6" fillId="5" borderId="2" applyAlignment="1" pivotButton="0" quotePrefix="0" xfId="0">
      <alignment horizontal="center" vertical="top" wrapText="1"/>
    </xf>
    <xf numFmtId="165" fontId="8" fillId="7" borderId="2" applyAlignment="1" pivotButton="0" quotePrefix="0" xfId="0">
      <alignment horizontal="center" vertical="top" wrapText="1"/>
    </xf>
    <xf numFmtId="9" fontId="8" fillId="7" borderId="2" applyAlignment="1" pivotButton="0" quotePrefix="0" xfId="0">
      <alignment horizontal="center" vertical="top" wrapText="1"/>
    </xf>
    <xf numFmtId="167" fontId="8" fillId="7" borderId="2" applyAlignment="1" pivotButton="0" quotePrefix="0" xfId="0">
      <alignment vertical="top" wrapText="1"/>
    </xf>
    <xf numFmtId="0" fontId="5" fillId="3" borderId="3" applyAlignment="1" pivotButton="0" quotePrefix="0" xfId="0">
      <alignment vertical="top" wrapText="1"/>
    </xf>
    <xf numFmtId="0" fontId="7" fillId="3" borderId="3" applyAlignment="1" pivotButton="0" quotePrefix="0" xfId="0">
      <alignment vertical="top" wrapText="1"/>
    </xf>
    <xf numFmtId="165" fontId="7" fillId="3" borderId="3" applyAlignment="1" pivotButton="0" quotePrefix="0" xfId="0">
      <alignment horizontal="center" vertical="top" wrapText="1"/>
    </xf>
    <xf numFmtId="165" fontId="8" fillId="7" borderId="2" applyAlignment="1" pivotButton="0" quotePrefix="0" xfId="0">
      <alignment horizontal="center" vertical="top"/>
    </xf>
    <xf numFmtId="9" fontId="8" fillId="7" borderId="2" applyAlignment="1" pivotButton="0" quotePrefix="0" xfId="0">
      <alignment horizontal="center" vertical="top"/>
    </xf>
    <xf numFmtId="166" fontId="8" fillId="7" borderId="2" applyAlignment="1" pivotButton="0" quotePrefix="0" xfId="0">
      <alignment horizontal="center" vertical="top"/>
    </xf>
    <xf numFmtId="1" fontId="8" fillId="7" borderId="2" applyAlignment="1" pivotButton="0" quotePrefix="0" xfId="0">
      <alignment horizontal="center" vertical="top"/>
    </xf>
    <xf numFmtId="165" fontId="6" fillId="5" borderId="2" applyAlignment="1" pivotButton="0" quotePrefix="0" xfId="0">
      <alignment horizontal="center" vertical="top"/>
    </xf>
    <xf numFmtId="165" fontId="6" fillId="6" borderId="2" applyAlignment="1" pivotButton="0" quotePrefix="0" xfId="0">
      <alignment horizontal="center" vertical="top"/>
    </xf>
    <xf numFmtId="164" fontId="6" fillId="6" borderId="2" applyAlignment="1" pivotButton="0" quotePrefix="0" xfId="0">
      <alignment horizontal="center" vertical="top"/>
    </xf>
    <xf numFmtId="164" fontId="6" fillId="5" borderId="2" applyAlignment="1" pivotButton="0" quotePrefix="0" xfId="0">
      <alignment horizontal="center" vertical="top"/>
    </xf>
    <xf numFmtId="168" fontId="6" fillId="5" borderId="2" applyAlignment="1" pivotButton="0" quotePrefix="0" xfId="0">
      <alignment horizontal="center" vertical="top"/>
    </xf>
    <xf numFmtId="168" fontId="6" fillId="6" borderId="2" applyAlignment="1" pivotButton="0" quotePrefix="0" xfId="0">
      <alignment horizontal="center" vertical="top"/>
    </xf>
    <xf numFmtId="1" fontId="6" fillId="5" borderId="2" applyAlignment="1" pivotButton="0" quotePrefix="0" xfId="0">
      <alignment horizontal="center" vertical="top"/>
    </xf>
    <xf numFmtId="165" fontId="6" fillId="5" borderId="2" applyAlignment="1" pivotButton="0" quotePrefix="0" xfId="0">
      <alignment vertical="top" wrapText="1"/>
    </xf>
    <xf numFmtId="165" fontId="6" fillId="6" borderId="2" applyAlignment="1" pivotButton="0" quotePrefix="0" xfId="0">
      <alignment vertical="top" wrapText="1"/>
    </xf>
    <xf numFmtId="0" fontId="2" fillId="3" borderId="0" pivotButton="0" quotePrefix="0" xfId="0"/>
    <xf numFmtId="0" fontId="9" fillId="0" borderId="1" pivotButton="0" quotePrefix="0" xfId="0"/>
    <xf numFmtId="0" fontId="4" fillId="4" borderId="2" pivotButton="0" quotePrefix="0" xfId="0"/>
    <xf numFmtId="0" fontId="7" fillId="8" borderId="2" pivotButton="0" quotePrefix="0" xfId="0"/>
    <xf numFmtId="0" fontId="6" fillId="0" borderId="2" applyAlignment="1" pivotButton="0" quotePrefix="0" xfId="0">
      <alignment vertical="top" wrapText="1"/>
    </xf>
    <xf numFmtId="0" fontId="10" fillId="9" borderId="2" pivotButton="0" quotePrefix="0" xfId="0"/>
    <xf numFmtId="0" fontId="11" fillId="10" borderId="2" pivotButton="0" quotePrefix="0" xfId="0"/>
    <xf numFmtId="0" fontId="12" fillId="11" borderId="2" pivotButton="0" quotePrefix="0" xfId="0"/>
    <xf numFmtId="0" fontId="11" fillId="12" borderId="2" pivotButton="0" quotePrefix="0" xfId="0"/>
    <xf numFmtId="0" fontId="13" fillId="13" borderId="2" pivotButton="0" quotePrefix="0" xfId="0"/>
    <xf numFmtId="0" fontId="14" fillId="14" borderId="2" pivotButton="0" quotePrefix="0" xfId="0"/>
    <xf numFmtId="0" fontId="15" fillId="15" borderId="2" pivotButton="0" quotePrefix="0" xfId="0"/>
    <xf numFmtId="0" fontId="16" fillId="16" borderId="2" pivotButton="0" quotePrefix="0" xfId="0"/>
    <xf numFmtId="0" fontId="17" fillId="17" borderId="2" pivotButton="0" quotePrefix="0" xfId="0"/>
    <xf numFmtId="0" fontId="18" fillId="18" borderId="2" pivotButton="0" quotePrefix="0" xfId="0"/>
  </cellXfs>
  <cellStyles count="1">
    <cellStyle name="Normal" xfId="0" builtinId="0" hidden="0"/>
  </cellStyles>
  <dxfs count="14">
    <dxf>
      <font>
        <color rgb="000B5D2A"/>
      </font>
      <fill>
        <patternFill patternType="solid">
          <fgColor rgb="00B7EBC9"/>
          <bgColor rgb="00B7EBC9"/>
        </patternFill>
      </fill>
    </dxf>
    <dxf>
      <font>
        <color rgb="001E6B3A"/>
      </font>
      <fill>
        <patternFill patternType="solid">
          <fgColor rgb="00DDF5E5"/>
          <bgColor rgb="00DDF5E5"/>
        </patternFill>
      </fill>
    </dxf>
    <dxf>
      <font>
        <color rgb="006B5300"/>
      </font>
      <fill>
        <patternFill patternType="solid">
          <fgColor rgb="00FFF1BF"/>
          <bgColor rgb="00FFF1BF"/>
        </patternFill>
      </fill>
    </dxf>
    <dxf>
      <font>
        <color rgb="007A4100"/>
      </font>
      <fill>
        <patternFill patternType="solid">
          <fgColor rgb="00FFDDB0"/>
          <bgColor rgb="00FFDDB0"/>
        </patternFill>
      </fill>
    </dxf>
    <dxf>
      <font>
        <color rgb="008A1C1C"/>
      </font>
      <fill>
        <patternFill patternType="solid">
          <fgColor rgb="00FFCFCF"/>
          <bgColor rgb="00FFCFCF"/>
        </patternFill>
      </fill>
    </dxf>
    <dxf>
      <font>
        <i val="1"/>
        <color rgb="007A5B00"/>
      </font>
      <fill>
        <patternFill patternType="solid">
          <fgColor rgb="00FFF6CC"/>
          <bgColor rgb="00FFF6CC"/>
        </patternFill>
      </fill>
    </dxf>
    <dxf>
      <font>
        <color rgb="008A3B00"/>
      </font>
      <fill>
        <patternFill patternType="solid">
          <fgColor rgb="00FFD9B8"/>
          <bgColor rgb="00FFD9B8"/>
        </patternFill>
      </fill>
    </dxf>
    <dxf>
      <font>
        <color rgb="008A3B00"/>
      </font>
      <fill>
        <patternFill patternType="solid">
          <fgColor rgb="00FFEEDD"/>
          <bgColor rgb="00FFEEDD"/>
        </patternFill>
      </fill>
    </dxf>
    <dxf>
      <font>
        <color rgb="004B2A99"/>
      </font>
      <fill>
        <patternFill patternType="solid">
          <fgColor rgb="00E6DBFF"/>
          <bgColor rgb="00E6DBFF"/>
        </patternFill>
      </fill>
    </dxf>
    <dxf>
      <font>
        <color rgb="00075A73"/>
      </font>
      <fill>
        <patternFill patternType="solid">
          <fgColor rgb="00DDF6FF"/>
          <bgColor rgb="00DDF6FF"/>
        </patternFill>
      </fill>
    </dxf>
    <dxf>
      <font>
        <color rgb="004A5568"/>
      </font>
      <fill>
        <patternFill patternType="solid">
          <fgColor rgb="00E7EBF1"/>
          <bgColor rgb="00E7EBF1"/>
        </patternFill>
      </fill>
    </dxf>
    <dxf>
      <font>
        <color rgb="0028406B"/>
      </font>
      <fill>
        <patternFill patternType="solid">
          <fgColor rgb="00D9E4F5"/>
          <bgColor rgb="00D9E4F5"/>
        </patternFill>
      </fill>
    </dxf>
    <dxf>
      <font>
        <color rgb="000E5C4A"/>
      </font>
      <fill>
        <patternFill patternType="solid">
          <fgColor rgb="00D7F3EC"/>
          <bgColor rgb="00D7F3EC"/>
        </patternFill>
      </fill>
    </dxf>
    <dxf>
      <font>
        <color rgb="00173E8C"/>
      </font>
      <fill>
        <patternFill patternType="solid">
          <fgColor rgb="00DCE7FF"/>
          <bgColor rgb="00DCE7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Rempo GTM</author>
  </authors>
  <commentList>
    <comment ref="C19" authorId="0" shapeId="0">
      <text>
        <t>350 is the founder's working CAC (GTM-BRIEF.md). The ROI_Calculator tab lets you change it.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www.bls.gov/ooh/office-and-administrative-support/receptionists.htm" TargetMode="External" Id="rId1"/></Relationships>
</file>

<file path=xl/worksheets/sheet1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E16"/>
  <sheetViews>
    <sheetView showGridLines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52" customWidth="1" min="2" max="2"/>
    <col width="52" customWidth="1" min="3" max="3"/>
    <col width="24" customWidth="1" min="4" max="4"/>
    <col width="52" customWidth="1" min="5" max="5"/>
  </cols>
  <sheetData>
    <row r="1" ht="30" customHeight="1">
      <c r="A1" s="1" t="inlineStr">
        <is>
          <t>Rempo go-to-market  ·  Pricing and Packaging</t>
        </is>
      </c>
    </row>
    <row r="2" ht="16" customHeight="1">
      <c r="A2" s="2" t="inlineStr">
        <is>
          <t>Value Metric.  Skill phase: Phase 9.  Source: dashboards/09-pricing-packaging.md (Run 2, 2026-10-19).</t>
        </is>
      </c>
    </row>
    <row r="4" ht="22" customHeight="1">
      <c r="A4" s="3" t="inlineStr">
        <is>
          <t>Step 9.1. Value metric selection</t>
        </is>
      </c>
      <c r="B4" s="4" t="n"/>
      <c r="C4" s="4" t="n"/>
      <c r="D4" s="4" t="n"/>
      <c r="E4" s="4" t="n"/>
    </row>
    <row r="5" ht="19.5" customHeight="1">
      <c r="A5" s="5" t="inlineStr">
        <is>
          <t>Denominator</t>
        </is>
      </c>
      <c r="B5" s="5" t="inlineStr">
        <is>
          <t>Correlation to Value</t>
        </is>
      </c>
      <c r="C5" s="5" t="inlineStr">
        <is>
          <t>Scalability</t>
        </is>
      </c>
      <c r="D5" s="5" t="inlineStr">
        <is>
          <t>Ease of Measurement</t>
        </is>
      </c>
      <c r="E5" s="5" t="inlineStr">
        <is>
          <t>Score (1-10)</t>
        </is>
      </c>
    </row>
    <row r="6" ht="18.5" customHeight="1">
      <c r="A6" s="6" t="inlineStr">
        <is>
          <t>/user</t>
        </is>
      </c>
      <c r="B6" s="7" t="inlineStr">
        <is>
          <t>Low: value comes from customers asked, not staff logins</t>
        </is>
      </c>
      <c r="C6" s="7" t="inlineStr">
        <is>
          <t>Poor: most shops have one or two users</t>
        </is>
      </c>
      <c r="D6" s="7" t="inlineStr">
        <is>
          <t>Easy</t>
        </is>
      </c>
      <c r="E6" s="8" t="n">
        <v>2.8</v>
      </c>
    </row>
    <row r="7" ht="18.5" customHeight="1">
      <c r="A7" s="9" t="inlineStr">
        <is>
          <t>/seat</t>
        </is>
      </c>
      <c r="B7" s="10" t="inlineStr">
        <is>
          <t>Low: same as /user</t>
        </is>
      </c>
      <c r="C7" s="10" t="inlineStr">
        <is>
          <t>Poor</t>
        </is>
      </c>
      <c r="D7" s="10" t="inlineStr">
        <is>
          <t>Easy</t>
        </is>
      </c>
      <c r="E7" s="11" t="n">
        <v>2.4</v>
      </c>
    </row>
    <row r="8" ht="18.5" customHeight="1">
      <c r="A8" s="6" t="inlineStr">
        <is>
          <t>/usage (customers asked per month)</t>
        </is>
      </c>
      <c r="B8" s="7" t="inlineStr">
        <is>
          <t>High: each request is the work done</t>
        </is>
      </c>
      <c r="C8" s="7" t="inlineStr">
        <is>
          <t>Good, but seasonal for HVAC and hard to predict at checkout</t>
        </is>
      </c>
      <c r="D8" s="7" t="inlineStr">
        <is>
          <t>Medium: needs counting</t>
        </is>
      </c>
      <c r="E8" s="8" t="n">
        <v>6.4</v>
      </c>
    </row>
    <row r="9" ht="32" customHeight="1">
      <c r="A9" s="9" t="inlineStr">
        <is>
          <t>/outcome (reviews received)</t>
        </is>
      </c>
      <c r="B9" s="10" t="inlineStr">
        <is>
          <t>Highest on paper</t>
        </is>
      </c>
      <c r="C9" s="10" t="inlineStr">
        <is>
          <t>Good</t>
        </is>
      </c>
      <c r="D9" s="10" t="inlineStr">
        <is>
          <t>Medium</t>
        </is>
      </c>
      <c r="E9" s="10" t="inlineStr">
        <is>
          <t>1.9. Rejected: it ties Rempo's revenue to review volume, the incentive behind gating, and reads as a promised result</t>
        </is>
      </c>
    </row>
    <row r="10" ht="18.5" customHeight="1">
      <c r="A10" s="6" t="inlineStr">
        <is>
          <t>/capability (feature tiers)</t>
        </is>
      </c>
      <c r="B10" s="7" t="inlineStr">
        <is>
          <t>Medium</t>
        </is>
      </c>
      <c r="C10" s="7" t="inlineStr">
        <is>
          <t>Good</t>
        </is>
      </c>
      <c r="D10" s="7" t="inlineStr">
        <is>
          <t>Easy</t>
        </is>
      </c>
      <c r="E10" s="7" t="inlineStr">
        <is>
          <t>5.2: tiers confuse a single-offer checkout</t>
        </is>
      </c>
    </row>
    <row r="11" ht="32" customHeight="1">
      <c r="A11" s="9" t="inlineStr">
        <is>
          <t>/location</t>
        </is>
      </c>
      <c r="B11" s="10" t="inlineStr">
        <is>
          <t>High: each location is its own profile, photo, setup, and request stream</t>
        </is>
      </c>
      <c r="C11" s="10" t="inlineStr">
        <is>
          <t>Excellent: grows with the customer</t>
        </is>
      </c>
      <c r="D11" s="10" t="inlineStr">
        <is>
          <t>Easy</t>
        </is>
      </c>
      <c r="E11" s="11" t="n">
        <v>8.9</v>
      </c>
    </row>
    <row r="13" ht="18.5" customHeight="1">
      <c r="A13" s="12" t="inlineStr">
        <is>
          <t>Recommendation</t>
        </is>
      </c>
    </row>
    <row r="14" ht="18.5" customHeight="1">
      <c r="A14" s="13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Primary value metric:</t>
          </r>
          <r>
            <rPr>
              <rFont val="Arial"/>
              <color rgb="001B2A44"/>
              <sz val="10"/>
            </rPr>
            <t xml:space="preserve"> per location.</t>
          </r>
        </is>
      </c>
    </row>
    <row r="15" ht="18.5" customHeight="1">
      <c r="A15" s="13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Secondary usage metric:</t>
          </r>
          <r>
            <rPr>
              <rFont val="Arial"/>
              <color rgb="001B2A44"/>
              <sz val="10"/>
            </rPr>
            <t xml:space="preserve"> customers asked per location per month, as a fair-use limit ({TBD}), not a price driver.</t>
          </r>
        </is>
      </c>
    </row>
    <row r="16" ht="18.5" customHeight="1">
      <c r="A16" s="13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Rationale:</t>
          </r>
          <r>
            <rPr>
              <rFont val="Arial"/>
              <color rgb="001B2A44"/>
              <sz val="10"/>
            </rPr>
            <t xml:space="preserve"> one number at checkout ($197 per location), arithmetic for shops with two locations, and a quote for three or more on a call. Capability moves out of tiers and into add-ons, which a checkout can sell one at a time.</t>
          </r>
        </is>
      </c>
    </row>
  </sheetData>
  <autoFilter ref="A5:E11"/>
  <mergeCells count="7">
    <mergeCell ref="A4:E4"/>
    <mergeCell ref="A2:E2"/>
    <mergeCell ref="A16:E16"/>
    <mergeCell ref="A15:E15"/>
    <mergeCell ref="A1:E1"/>
    <mergeCell ref="A13:E13"/>
    <mergeCell ref="A14:E14"/>
  </mergeCells>
  <conditionalFormatting sqref="B6:B11">
    <cfRule type="expression" priority="1" dxfId="0" stopIfTrue="1">
      <formula>LEFT(TRIM(B6),7)="Highest"</formula>
    </cfRule>
    <cfRule type="expression" priority="2" dxfId="0" stopIfTrue="1">
      <formula>LEFT(TRIM(B6),9)="Excellent"</formula>
    </cfRule>
    <cfRule type="expression" priority="3" dxfId="1" stopIfTrue="1">
      <formula>LEFT(TRIM(B6),4)="High"</formula>
    </cfRule>
    <cfRule type="expression" priority="4" dxfId="1" stopIfTrue="1">
      <formula>LEFT(TRIM(B6),4)="Good"</formula>
    </cfRule>
    <cfRule type="expression" priority="5" dxfId="1" stopIfTrue="1">
      <formula>LEFT(TRIM(B6),4)="Easy"</formula>
    </cfRule>
    <cfRule type="expression" priority="6" dxfId="2" stopIfTrue="1">
      <formula>LEFT(TRIM(B6),6)="Medium"</formula>
    </cfRule>
    <cfRule type="expression" priority="7" dxfId="3" stopIfTrue="1">
      <formula>LEFT(TRIM(B6),3)="Low"</formula>
    </cfRule>
    <cfRule type="expression" priority="8" dxfId="3" stopIfTrue="1">
      <formula>LEFT(TRIM(B6),4)="Hard"</formula>
    </cfRule>
    <cfRule type="expression" priority="9" dxfId="4" stopIfTrue="1">
      <formula>LEFT(TRIM(B6),4)="Poor"</formula>
    </cfRule>
  </conditionalFormatting>
  <conditionalFormatting sqref="C6:C11">
    <cfRule type="expression" priority="10" dxfId="0" stopIfTrue="1">
      <formula>LEFT(TRIM(C6),7)="Highest"</formula>
    </cfRule>
    <cfRule type="expression" priority="11" dxfId="0" stopIfTrue="1">
      <formula>LEFT(TRIM(C6),9)="Excellent"</formula>
    </cfRule>
    <cfRule type="expression" priority="12" dxfId="1" stopIfTrue="1">
      <formula>LEFT(TRIM(C6),4)="High"</formula>
    </cfRule>
    <cfRule type="expression" priority="13" dxfId="1" stopIfTrue="1">
      <formula>LEFT(TRIM(C6),4)="Good"</formula>
    </cfRule>
    <cfRule type="expression" priority="14" dxfId="1" stopIfTrue="1">
      <formula>LEFT(TRIM(C6),4)="Easy"</formula>
    </cfRule>
    <cfRule type="expression" priority="15" dxfId="2" stopIfTrue="1">
      <formula>LEFT(TRIM(C6),6)="Medium"</formula>
    </cfRule>
    <cfRule type="expression" priority="16" dxfId="3" stopIfTrue="1">
      <formula>LEFT(TRIM(C6),3)="Low"</formula>
    </cfRule>
    <cfRule type="expression" priority="17" dxfId="3" stopIfTrue="1">
      <formula>LEFT(TRIM(C6),4)="Hard"</formula>
    </cfRule>
    <cfRule type="expression" priority="18" dxfId="4" stopIfTrue="1">
      <formula>LEFT(TRIM(C6),4)="Poor"</formula>
    </cfRule>
  </conditionalFormatting>
  <conditionalFormatting sqref="D6:D11">
    <cfRule type="expression" priority="19" dxfId="0" stopIfTrue="1">
      <formula>LEFT(TRIM(D6),7)="Highest"</formula>
    </cfRule>
    <cfRule type="expression" priority="20" dxfId="0" stopIfTrue="1">
      <formula>LEFT(TRIM(D6),9)="Excellent"</formula>
    </cfRule>
    <cfRule type="expression" priority="21" dxfId="1" stopIfTrue="1">
      <formula>LEFT(TRIM(D6),4)="High"</formula>
    </cfRule>
    <cfRule type="expression" priority="22" dxfId="1" stopIfTrue="1">
      <formula>LEFT(TRIM(D6),4)="Good"</formula>
    </cfRule>
    <cfRule type="expression" priority="23" dxfId="1" stopIfTrue="1">
      <formula>LEFT(TRIM(D6),4)="Easy"</formula>
    </cfRule>
    <cfRule type="expression" priority="24" dxfId="2" stopIfTrue="1">
      <formula>LEFT(TRIM(D6),6)="Medium"</formula>
    </cfRule>
    <cfRule type="expression" priority="25" dxfId="3" stopIfTrue="1">
      <formula>LEFT(TRIM(D6),3)="Low"</formula>
    </cfRule>
    <cfRule type="expression" priority="26" dxfId="3" stopIfTrue="1">
      <formula>LEFT(TRIM(D6),4)="Hard"</formula>
    </cfRule>
    <cfRule type="expression" priority="27" dxfId="4" stopIfTrue="1">
      <formula>LEFT(TRIM(D6),4)="Poor"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F39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20" customWidth="1" min="3" max="3"/>
    <col width="52" customWidth="1" min="4" max="4"/>
    <col width="52" customWidth="1" min="5" max="5"/>
    <col width="52" customWidth="1" min="6" max="6"/>
  </cols>
  <sheetData>
    <row r="1" ht="30" customHeight="1">
      <c r="A1" s="1" t="inlineStr">
        <is>
          <t>Rempo go-to-market  ·  Pricing and Packaging</t>
        </is>
      </c>
    </row>
    <row r="2" ht="16" customHeight="1">
      <c r="A2" s="2" t="inlineStr">
        <is>
          <t>Offer Ladder.  Skill phase: Phase 9.  Source: dashboards/09-pricing-packaging.md (Run 2, 2026-10-19).</t>
        </is>
      </c>
    </row>
    <row r="4" ht="22" customHeight="1">
      <c r="A4" s="3" t="inlineStr">
        <is>
          <t>Step 9.2. Pricing tiers: the offer ladder</t>
        </is>
      </c>
      <c r="B4" s="4" t="n"/>
      <c r="C4" s="4" t="n"/>
      <c r="D4" s="4" t="n"/>
      <c r="E4" s="4" t="n"/>
      <c r="F4" s="4" t="n"/>
    </row>
    <row r="5" ht="18.5" customHeight="1">
      <c r="A5" s="14" t="inlineStr">
        <is>
          <t>A VSL funnel shows one offer, so the skill's tiers become a ladder the buyer climbs in order. The decoy role is played by the price anchor in the VSL: what the alternatives cost (Podium about $399 a month on annual terms; done-for-you review services $500 and up).</t>
        </is>
      </c>
    </row>
    <row r="6" ht="19.5" customHeight="1">
      <c r="A6" s="5" t="inlineStr">
        <is>
          <t>Plan</t>
        </is>
      </c>
      <c r="B6" s="5" t="inlineStr">
        <is>
          <t>Price</t>
        </is>
      </c>
      <c r="C6" s="5" t="inlineStr">
        <is>
          <t>Locations</t>
        </is>
      </c>
      <c r="D6" s="5" t="inlineStr">
        <is>
          <t>Usage limit</t>
        </is>
      </c>
      <c r="E6" s="5" t="inlineStr">
        <is>
          <t>Position</t>
        </is>
      </c>
      <c r="F6" s="5" t="inlineStr">
        <is>
          <t>Target % of customers</t>
        </is>
      </c>
    </row>
    <row r="7" ht="18.5" customHeight="1">
      <c r="A7" s="6" t="inlineStr">
        <is>
          <t>Review Engine, month to month</t>
        </is>
      </c>
      <c r="B7" s="7" t="inlineStr">
        <is>
          <t>$197/location/month plus $299 setup</t>
        </is>
      </c>
      <c r="C7" s="7" t="inlineStr">
        <is>
          <t>1 to 2 at checkout</t>
        </is>
      </c>
      <c r="D7" s="7" t="inlineStr">
        <is>
          <t>Fair use, {TBD}</t>
        </is>
      </c>
      <c r="E7" s="7" t="inlineStr">
        <is>
          <t>Hero: the front-end offer</t>
        </is>
      </c>
      <c r="F7" s="7" t="inlineStr">
        <is>
          <t>60-80%</t>
        </is>
      </c>
    </row>
    <row r="8" ht="18.5" customHeight="1">
      <c r="A8" s="9" t="inlineStr">
        <is>
          <t>Review Engine, annual</t>
        </is>
      </c>
      <c r="B8" s="10" t="inlineStr">
        <is>
          <t>$1,970/location/year (two months free), setup waived</t>
        </is>
      </c>
      <c r="C8" s="10" t="inlineStr">
        <is>
          <t>1 to 2</t>
        </is>
      </c>
      <c r="D8" s="10" t="inlineStr">
        <is>
          <t>Fair use, {TBD}</t>
        </is>
      </c>
      <c r="E8" s="10" t="inlineStr">
        <is>
          <t>Hero+: cash up front and retention; offered at month 3</t>
        </is>
      </c>
      <c r="F8" s="10" t="inlineStr">
        <is>
          <t>10-20%</t>
        </is>
      </c>
    </row>
    <row r="9" ht="18.5" customHeight="1">
      <c r="A9" s="6" t="inlineStr">
        <is>
          <t>Review Engine plus GBP Upkeep</t>
        </is>
      </c>
      <c r="B9" s="7" t="inlineStr">
        <is>
          <t>$294/location/month ($197 + $97), plus setup</t>
        </is>
      </c>
      <c r="C9" s="7" t="inlineStr">
        <is>
          <t>1 to 2</t>
        </is>
      </c>
      <c r="D9" s="7" t="inlineStr">
        <is>
          <t>Fair use, {TBD}</t>
        </is>
      </c>
      <c r="E9" s="7" t="inlineStr">
        <is>
          <t>Hero+: the one-click upsell taken</t>
        </is>
      </c>
      <c r="F9" s="7" t="inlineStr">
        <is>
          <t>10-20%</t>
        </is>
      </c>
    </row>
    <row r="10" ht="18.5" customHeight="1">
      <c r="A10" s="9" t="inlineStr">
        <is>
          <t>Three or more locations, or custom</t>
        </is>
      </c>
      <c r="B10" s="10" t="inlineStr">
        <is>
          <t>Per location, quoted on a call</t>
        </is>
      </c>
      <c r="C10" s="10" t="inlineStr">
        <is>
          <t>3 or more</t>
        </is>
      </c>
      <c r="D10" s="10" t="inlineStr">
        <is>
          <t>Agreed</t>
        </is>
      </c>
      <c r="E10" s="10" t="inlineStr">
        <is>
          <t>Anchor: replaces "Call for price"</t>
        </is>
      </c>
      <c r="F10" s="10" t="inlineStr">
        <is>
          <t>5-10%</t>
        </is>
      </c>
    </row>
    <row r="12" ht="18.5" customHeight="1">
      <c r="A12" s="12" t="inlineStr">
        <is>
          <t>Recommended changes to the live page:</t>
        </is>
      </c>
    </row>
    <row r="13" ht="18.5" customHeight="1">
      <c r="A13" s="13" t="inlineStr">
        <is>
          <r>
            <rPr>
              <rFont val="Arial"/>
              <color rgb="001B2A44"/>
              <sz val="10"/>
            </rPr>
            <t xml:space="preserve">1.  </t>
          </r>
          <r>
            <rPr>
              <rFont val="Arial"/>
              <b val="1"/>
              <color rgb="001B2A44"/>
              <sz val="10"/>
            </rPr>
            <t>One plan card, not three.</t>
          </r>
          <r>
            <rPr>
              <rFont val="Arial"/>
              <color rgb="001B2A44"/>
              <sz val="10"/>
            </rPr>
            <t xml:space="preserve"> The Review Engine at $197 a month per location, with the core features from the founder's matrix: requests, follow-ups, personalized requests, replies, social posts and the website widget from reviews, monitoring, alerts, and the monthly report.</t>
          </r>
        </is>
      </c>
    </row>
    <row r="14" ht="18.5" customHeight="1">
      <c r="A14" s="13" t="inlineStr">
        <is>
          <r>
            <rPr>
              <rFont val="Arial"/>
              <color rgb="001B2A44"/>
              <sz val="10"/>
            </rPr>
            <t xml:space="preserve">2.  </t>
          </r>
          <r>
            <rPr>
              <rFont val="Arial"/>
              <b val="1"/>
              <color rgb="001B2A44"/>
              <sz val="10"/>
            </rPr>
            <t>Add-ons listed under it,</t>
          </r>
          <r>
            <rPr>
              <rFont val="Arial"/>
              <color rgb="001B2A44"/>
              <sz val="10"/>
            </rPr>
            <t xml:space="preserve"> with prices (below).</t>
          </r>
        </is>
      </c>
    </row>
    <row r="15" ht="18.5" customHeight="1">
      <c r="A15" s="13" t="inlineStr">
        <is>
          <r>
            <rPr>
              <rFont val="Arial"/>
              <color rgb="001B2A44"/>
              <sz val="10"/>
            </rPr>
            <t xml:space="preserve">3.  </t>
          </r>
          <r>
            <rPr>
              <rFont val="Arial"/>
              <b val="1"/>
              <color rgb="001B2A44"/>
              <sz val="10"/>
            </rPr>
            <t>"Three or more locations? Book a call"</t>
          </r>
          <r>
            <rPr>
              <rFont val="Arial"/>
              <color rgb="001B2A44"/>
              <sz val="10"/>
            </rPr>
            <t xml:space="preserve"> replaces Pro's "Call for price".</t>
          </r>
        </is>
      </c>
    </row>
    <row r="16" ht="18.5" customHeight="1">
      <c r="A16" s="13" t="inlineStr">
        <is>
          <r>
            <rPr>
              <rFont val="Arial"/>
              <color rgb="001B2A44"/>
              <sz val="10"/>
            </rPr>
            <t xml:space="preserve">4.  </t>
          </r>
          <r>
            <rPr>
              <rFont val="Arial"/>
              <b val="1"/>
              <color rgb="001B2A44"/>
              <sz val="10"/>
            </rPr>
            <t>Replace the 15-day free trial with a paid start and a process guarantee</t>
          </r>
          <r>
            <rPr>
              <rFont val="Arial"/>
              <color rgb="001B2A44"/>
              <sz val="10"/>
            </rPr>
            <t xml:space="preserve"> (Phase 7): "First requests out within 7 days of your software connection, or your setup fee back. Month to month." Terms {TBD} with counsel.</t>
          </r>
        </is>
      </c>
    </row>
    <row r="17" ht="18.5" customHeight="1">
      <c r="A17" s="13" t="inlineStr">
        <is>
          <r>
            <rPr>
              <rFont val="Arial"/>
              <color rgb="001B2A44"/>
              <sz val="10"/>
            </rPr>
            <t xml:space="preserve">5.  </t>
          </r>
          <r>
            <rPr>
              <rFont val="Arial"/>
              <b val="1"/>
              <color rgb="001B2A44"/>
              <sz val="10"/>
            </rPr>
            <t>Remove "24/7 Support"</t>
          </r>
          <r>
            <rPr>
              <rFont val="Arial"/>
              <color rgb="001B2A44"/>
              <sz val="10"/>
            </rPr>
            <t xml:space="preserve"> until it is staffed, and rename "Google Search Boost" as the GBP Tune-Up.</t>
          </r>
        </is>
      </c>
    </row>
    <row r="18" ht="18.5" customHeight="1">
      <c r="A18" s="14" t="inlineStr">
        <is>
          <t>Where Run 1's tiers go: Starter's features become the Review Engine; Growth's social posts and widget join the Review Engine (the founder's matrix puts them in the core); "Google Search Boost" becomes the GBP Tune-Up; the rest of Growth and all of Pro become the product layer, held until Phase 11's rule releases them.</t>
        </is>
      </c>
    </row>
    <row r="20" ht="22" customHeight="1">
      <c r="A20" s="3" t="inlineStr">
        <is>
          <t>Add-ons, in the order the funnel offers them</t>
        </is>
      </c>
      <c r="B20" s="4" t="n"/>
      <c r="C20" s="4" t="n"/>
      <c r="D20" s="4" t="n"/>
      <c r="E20" s="4" t="n"/>
      <c r="F20" s="4" t="n"/>
    </row>
    <row r="21" ht="19.5" customHeight="1">
      <c r="A21" s="5" t="inlineStr">
        <is>
          <t>Add-on</t>
        </is>
      </c>
      <c r="B21" s="5" t="inlineStr">
        <is>
          <t>Price</t>
        </is>
      </c>
      <c r="C21" s="5" t="inlineStr">
        <is>
          <t>Type</t>
        </is>
      </c>
      <c r="D21" s="5" t="inlineStr">
        <is>
          <t>Funnel position</t>
        </is>
      </c>
      <c r="E21" s="5" t="inlineStr">
        <is>
          <t>Market price</t>
        </is>
      </c>
      <c r="F21" s="5" t="inlineStr">
        <is>
          <t>Why this price</t>
        </is>
      </c>
    </row>
    <row r="22" ht="32" customHeight="1">
      <c r="A22" s="6" t="inlineStr">
        <is>
          <t>GBP Tune-Up</t>
        </is>
      </c>
      <c r="B22" s="7" t="inlineStr">
        <is>
          <t>$197 one-time</t>
        </is>
      </c>
      <c r="C22" s="7" t="inlineStr">
        <is>
          <t>Service</t>
        </is>
      </c>
      <c r="D22" s="7" t="inlineStr">
        <is>
          <t>Order bump at checkout</t>
        </is>
      </c>
      <c r="E22" s="7" t="inlineStr">
        <is>
          <t>$250 to $750 one-time (agency guides)</t>
        </is>
      </c>
      <c r="F22" s="7" t="inlineStr">
        <is>
          <t>Below market; low labor; the strongest evidence of any profile work (Phase 0)</t>
        </is>
      </c>
    </row>
    <row r="23" ht="32" customHeight="1">
      <c r="A23" s="9" t="inlineStr">
        <is>
          <t>GBP Upkeep</t>
        </is>
      </c>
      <c r="B23" s="10" t="inlineStr">
        <is>
          <t>$97/location/month</t>
        </is>
      </c>
      <c r="C23" s="10" t="inlineStr">
        <is>
          <t>Service</t>
        </is>
      </c>
      <c r="D23" s="10" t="inlineStr">
        <is>
          <t>One-click upsell after payment</t>
        </is>
      </c>
      <c r="E23" s="10" t="inlineStr">
        <is>
          <t>$125 to $500 a month (agency guides)</t>
        </is>
      </c>
      <c r="F23" s="10" t="inlineStr">
        <is>
          <t>Priced as staying current, not as ranking, because posting has no ranking evidence</t>
        </is>
      </c>
    </row>
    <row r="24" ht="32" customHeight="1">
      <c r="A24" s="6" t="inlineStr">
        <is>
          <t>Website (home services)</t>
        </is>
      </c>
      <c r="B24" s="7" t="inlineStr">
        <is>
          <t>$1,497 build plus $49/month hosting and updates</t>
        </is>
      </c>
      <c r="C24" s="7" t="inlineStr">
        <is>
          <t>Service</t>
        </is>
      </c>
      <c r="D24" s="7" t="inlineStr">
        <is>
          <t>Account upsell, after a site check on the 30-day call</t>
        </is>
      </c>
      <c r="E24" s="7" t="inlineStr">
        <is>
          <t>$1,800 to $4,500 typical build; $249 a month in Footbridge's bundle</t>
        </is>
      </c>
      <c r="F24" s="7" t="inlineStr">
        <is>
          <t>A templated WordPress build with a page per service and reviews built in; scoped on a call</t>
        </is>
      </c>
    </row>
    <row r="25" ht="32" customHeight="1">
      <c r="A25" s="9" t="inlineStr">
        <is>
          <t>AI voice receptionist</t>
        </is>
      </c>
      <c r="B25" s="10" t="inlineStr">
        <is>
          <t>$97/month, setup {TBD}</t>
        </is>
      </c>
      <c r="C25" s="10" t="inlineStr">
        <is>
          <t>Product</t>
        </is>
      </c>
      <c r="D25" s="10" t="inlineStr">
        <is>
          <t>Product add-on, offered when call data shows missed calls</t>
        </is>
      </c>
      <c r="E25" s="10" t="inlineStr">
        <is>
          <t>$29 to $99 a month for software receptionists</t>
        </is>
      </c>
      <c r="F25" s="10" t="inlineStr">
        <is>
          <t>Set up and tuned by Rempo; outbound AI calls need a consent design</t>
        </is>
      </c>
    </row>
    <row r="26" ht="32" customHeight="1">
      <c r="A26" s="6" t="inlineStr">
        <is>
          <t>Other product items (inbox, booking, chat, pipeline, reactivation, referrals, listings, surveys)</t>
        </is>
      </c>
      <c r="B26" s="7" t="inlineStr">
        <is>
          <t>Priced when first requested</t>
        </is>
      </c>
      <c r="C26" s="7" t="inlineStr">
        <is>
          <t>Product</t>
        </is>
      </c>
      <c r="D26" s="7" t="inlineStr">
        <is>
          <t>Held (Phase 11)</t>
        </is>
      </c>
      <c r="E26" s="7" t="inlineStr">
        <is>
          <t>Mostly included free in other platforms</t>
        </is>
      </c>
      <c r="F26" s="7" t="inlineStr">
        <is>
          <t>Support load before revenue</t>
        </is>
      </c>
    </row>
    <row r="28" ht="18.5" customHeight="1">
      <c r="A28" s="12" t="inlineStr">
        <is>
          <t>Expansion levers</t>
        </is>
      </c>
    </row>
    <row r="29" ht="18.5" customHeight="1">
      <c r="A29" s="13" t="inlineStr">
        <is>
          <r>
            <rPr>
              <rFont val="Arial"/>
              <color rgb="001B2A44"/>
              <sz val="10"/>
            </rPr>
            <t xml:space="preserve">1.  </t>
          </r>
          <r>
            <rPr>
              <rFont val="Arial"/>
              <b val="1"/>
              <color rgb="001B2A44"/>
              <sz val="10"/>
            </rPr>
            <t>Add-ons:</t>
          </r>
          <r>
            <rPr>
              <rFont val="Arial"/>
              <color rgb="001B2A44"/>
              <sz val="10"/>
            </rPr>
            <t xml:space="preserve"> GBP Upkeep, website, AI voice receptionist, each sold when the account's own data shows the need.</t>
          </r>
        </is>
      </c>
    </row>
    <row r="30" ht="18.5" customHeight="1">
      <c r="A30" s="13" t="inlineStr">
        <is>
          <r>
            <rPr>
              <rFont val="Arial"/>
              <color rgb="001B2A44"/>
              <sz val="10"/>
            </rPr>
            <t xml:space="preserve">2.  </t>
          </r>
          <r>
            <rPr>
              <rFont val="Arial"/>
              <b val="1"/>
              <color rgb="001B2A44"/>
              <sz val="10"/>
            </rPr>
            <t>Locations:</t>
          </r>
          <r>
            <rPr>
              <rFont val="Arial"/>
              <color rgb="001B2A44"/>
              <sz val="10"/>
            </rPr>
            <t xml:space="preserve"> the per-location metric grows with the shop.</t>
          </r>
        </is>
      </c>
    </row>
    <row r="31" ht="18.5" customHeight="1">
      <c r="A31" s="13" t="inlineStr">
        <is>
          <r>
            <rPr>
              <rFont val="Arial"/>
              <color rgb="001B2A44"/>
              <sz val="10"/>
            </rPr>
            <t xml:space="preserve">3.  </t>
          </r>
          <r>
            <rPr>
              <rFont val="Arial"/>
              <b val="1"/>
              <color rgb="001B2A44"/>
              <sz val="10"/>
            </rPr>
            <t>Annual:</t>
          </r>
          <r>
            <rPr>
              <rFont val="Arial"/>
              <color rgb="001B2A44"/>
              <sz val="10"/>
            </rPr>
            <t xml:space="preserve"> offered at month 3 with the setup fee credited; a retention lever as much as an expansion one.</t>
          </r>
        </is>
      </c>
    </row>
    <row r="33" ht="22" customHeight="1">
      <c r="A33" s="3" t="inlineStr">
        <is>
          <t>The $97 to $149 question, again</t>
        </is>
      </c>
      <c r="B33" s="4" t="n"/>
      <c r="C33" s="4" t="n"/>
      <c r="D33" s="4" t="n"/>
      <c r="E33" s="4" t="n"/>
      <c r="F33" s="4" t="n"/>
    </row>
    <row r="34" ht="32" customHeight="1">
      <c r="A34" s="14" t="inlineStr">
        <is>
          <r>
            <rPr>
              <rFont val="Arial"/>
              <b val="1"/>
              <color rgb="001B2A44"/>
              <sz val="10"/>
            </rPr>
            <t>Still no, for the done-for-you offer.</t>
          </r>
          <r>
            <rPr>
              <rFont val="Arial"/>
              <color rgb="001B2A44"/>
              <sz val="10"/>
            </rPr>
            <t xml:space="preserve"> At $350 CAC, months of subscription revenue to recover it: $97: 3.6; $149: 2.3; $197: 1.8. The setup labor and onboarding call cost the same at any price, and at $97 to $149 Rempo would sit at NiceJob's price ($75 to $125) while doing the work. If a lower entry is ever needed, it is a different product (software the owner runs), sold later through Phase 11's rule.</t>
          </r>
        </is>
      </c>
    </row>
    <row r="36" ht="22" customHeight="1">
      <c r="A36" s="3" t="inlineStr">
        <is>
          <t>Setup fee and the start</t>
        </is>
      </c>
      <c r="B36" s="4" t="n"/>
      <c r="C36" s="4" t="n"/>
      <c r="D36" s="4" t="n"/>
      <c r="E36" s="4" t="n"/>
      <c r="F36" s="4" t="n"/>
    </row>
    <row r="37" ht="18.5" customHeight="1">
      <c r="A37" s="13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$299 setup fee on month to month,</t>
          </r>
          <r>
            <rPr>
              <rFont val="Arial"/>
              <color rgb="001B2A44"/>
              <sz val="10"/>
            </rPr>
            <t xml:space="preserve"> charged at purchase: it pays for setup labor and filters buyers who are not ready.</t>
          </r>
        </is>
      </c>
    </row>
    <row r="38" ht="18.5" customHeight="1">
      <c r="A38" s="13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Waived on annual.</t>
          </r>
        </is>
      </c>
    </row>
    <row r="39" ht="18.5" customHeight="1">
      <c r="A39" s="13" t="inlineStr">
        <is>
          <r>
            <rPr>
              <rFont val="Arial"/>
              <color rgb="001B2A44"/>
              <sz val="10"/>
            </rPr>
            <t xml:space="preserve">•  </t>
          </r>
          <r>
            <rPr>
              <rFont val="Arial"/>
              <b val="1"/>
              <color rgb="001B2A44"/>
              <sz val="10"/>
            </rPr>
            <t>Refunded if first requests are not out within 7 days of the software connection</t>
          </r>
          <r>
            <rPr>
              <rFont val="Arial"/>
              <color rgb="001B2A44"/>
              <sz val="10"/>
            </rPr>
            <t xml:space="preserve"> (the process guarantee). The clock starts at connection because the connection depends on the client.</t>
          </r>
        </is>
      </c>
    </row>
  </sheetData>
  <mergeCells count="22">
    <mergeCell ref="A16:F16"/>
    <mergeCell ref="A37:F37"/>
    <mergeCell ref="A12:F12"/>
    <mergeCell ref="A18:F18"/>
    <mergeCell ref="A2:F2"/>
    <mergeCell ref="A33:F33"/>
    <mergeCell ref="A14:F14"/>
    <mergeCell ref="A5:F5"/>
    <mergeCell ref="A17:F17"/>
    <mergeCell ref="A4:F4"/>
    <mergeCell ref="A20:F20"/>
    <mergeCell ref="A29:F29"/>
    <mergeCell ref="A38:F38"/>
    <mergeCell ref="A28:F28"/>
    <mergeCell ref="A13:F13"/>
    <mergeCell ref="A31:F31"/>
    <mergeCell ref="A34:F34"/>
    <mergeCell ref="A30:F30"/>
    <mergeCell ref="A39:F39"/>
    <mergeCell ref="A15:F15"/>
    <mergeCell ref="A36:F36"/>
    <mergeCell ref="A1:F1"/>
  </mergeCells>
  <conditionalFormatting sqref="A7:F10">
    <cfRule type="expression" priority="1" dxfId="5" stopIfTrue="1">
      <formula>ISNUMBER(SEARCH("{TBD}",A7))</formula>
    </cfRule>
  </conditionalFormatting>
  <conditionalFormatting sqref="A22:F26">
    <cfRule type="expression" priority="2" dxfId="5" stopIfTrue="1">
      <formula>ISNUMBER(SEARCH("{TBD}",A22))</formula>
    </cfRule>
  </conditionalFormatting>
  <conditionalFormatting sqref="C22:C26">
    <cfRule type="expression" priority="3" dxfId="6" stopIfTrue="1">
      <formula>LEFT(TRIM(C22),9)="Front-end"</formula>
    </cfRule>
    <cfRule type="expression" priority="4" dxfId="7" stopIfTrue="1">
      <formula>LEFT(TRIM(C22),10)="Order bump"</formula>
    </cfRule>
    <cfRule type="expression" priority="5" dxfId="7" stopIfTrue="1">
      <formula>LEFT(TRIM(C22),16)="One-click upsell"</formula>
    </cfRule>
    <cfRule type="expression" priority="6" dxfId="7" stopIfTrue="1">
      <formula>LEFT(TRIM(C22),14)="Account upsell"</formula>
    </cfRule>
    <cfRule type="expression" priority="7" dxfId="8" stopIfTrue="1">
      <formula>LEFT(TRIM(C22),14)="Product add-on"</formula>
    </cfRule>
    <cfRule type="expression" priority="8" dxfId="8" stopIfTrue="1">
      <formula>TRIM(C22)="Product"</formula>
    </cfRule>
    <cfRule type="expression" priority="9" dxfId="6" stopIfTrue="1">
      <formula>LEFT(TRIM(C22),7)="Service"</formula>
    </cfRule>
    <cfRule type="expression" priority="10" dxfId="9" stopIfTrue="1">
      <formula>TRIM(C22)="Free"</formula>
    </cfRule>
    <cfRule type="expression" priority="11" dxfId="10" stopIfTrue="1">
      <formula>LEFT(TRIM(C22),4)="Held"</formula>
    </cfRule>
    <cfRule type="expression" priority="12" dxfId="10" stopIfTrue="1">
      <formula>TRIM(C22)="None"</formula>
    </cfRule>
    <cfRule type="expression" priority="13" dxfId="10" stopIfTrue="1">
      <formula>LEFT(TRIM(C22),9)="Candidate"</formula>
    </cfRule>
    <cfRule type="expression" priority="14" dxfId="10" stopIfTrue="1">
      <formula>TRIM(C22)="Terms"</formula>
    </cfRule>
    <cfRule type="expression" priority="15" dxfId="11" stopIfTrue="1">
      <formula>TRIM(C22)="Delivery"</formula>
    </cfRule>
    <cfRule type="expression" priority="16" dxfId="12" stopIfTrue="1">
      <formula>TRIM(C22)="Client outcome"</formula>
    </cfRule>
    <cfRule type="expression" priority="17" dxfId="13" stopIfTrue="1">
      <formula>TRIM(C22)="Business"</formula>
    </cfRule>
  </conditionalFormatting>
  <conditionalFormatting sqref="D22:D26">
    <cfRule type="expression" priority="18" dxfId="6" stopIfTrue="1">
      <formula>LEFT(TRIM(D22),9)="Front-end"</formula>
    </cfRule>
    <cfRule type="expression" priority="19" dxfId="7" stopIfTrue="1">
      <formula>LEFT(TRIM(D22),10)="Order bump"</formula>
    </cfRule>
    <cfRule type="expression" priority="20" dxfId="7" stopIfTrue="1">
      <formula>LEFT(TRIM(D22),16)="One-click upsell"</formula>
    </cfRule>
    <cfRule type="expression" priority="21" dxfId="7" stopIfTrue="1">
      <formula>LEFT(TRIM(D22),14)="Account upsell"</formula>
    </cfRule>
    <cfRule type="expression" priority="22" dxfId="8" stopIfTrue="1">
      <formula>LEFT(TRIM(D22),14)="Product add-on"</formula>
    </cfRule>
    <cfRule type="expression" priority="23" dxfId="8" stopIfTrue="1">
      <formula>TRIM(D22)="Product"</formula>
    </cfRule>
    <cfRule type="expression" priority="24" dxfId="6" stopIfTrue="1">
      <formula>LEFT(TRIM(D22),7)="Service"</formula>
    </cfRule>
    <cfRule type="expression" priority="25" dxfId="9" stopIfTrue="1">
      <formula>TRIM(D22)="Free"</formula>
    </cfRule>
    <cfRule type="expression" priority="26" dxfId="10" stopIfTrue="1">
      <formula>LEFT(TRIM(D22),4)="Held"</formula>
    </cfRule>
    <cfRule type="expression" priority="27" dxfId="10" stopIfTrue="1">
      <formula>TRIM(D22)="None"</formula>
    </cfRule>
    <cfRule type="expression" priority="28" dxfId="10" stopIfTrue="1">
      <formula>LEFT(TRIM(D22),9)="Candidate"</formula>
    </cfRule>
    <cfRule type="expression" priority="29" dxfId="10" stopIfTrue="1">
      <formula>TRIM(D22)="Terms"</formula>
    </cfRule>
    <cfRule type="expression" priority="30" dxfId="11" stopIfTrue="1">
      <formula>TRIM(D22)="Delivery"</formula>
    </cfRule>
    <cfRule type="expression" priority="31" dxfId="12" stopIfTrue="1">
      <formula>TRIM(D22)="Client outcome"</formula>
    </cfRule>
    <cfRule type="expression" priority="32" dxfId="13" stopIfTrue="1">
      <formula>TRIM(D22)="Business"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E40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52" customWidth="1" min="4" max="4"/>
    <col width="50" customWidth="1" min="5" max="5"/>
  </cols>
  <sheetData>
    <row r="1" ht="30" customHeight="1">
      <c r="A1" s="1" t="inlineStr">
        <is>
          <t>Rempo go-to-market  ·  Pricing and Packaging</t>
        </is>
      </c>
    </row>
    <row r="2" ht="16" customHeight="1">
      <c r="A2" s="2" t="inlineStr">
        <is>
          <t>ROI Anchors.  Skill phase: Phase 9.  Source: dashboards/09-pricing-packaging.md (Run 2, 2026-10-19).</t>
        </is>
      </c>
    </row>
    <row r="4" ht="22" customHeight="1">
      <c r="A4" s="3" t="inlineStr">
        <is>
          <t>Step 9.3. ROI anchoring</t>
        </is>
      </c>
      <c r="B4" s="4" t="n"/>
      <c r="C4" s="4" t="n"/>
      <c r="D4" s="4" t="n"/>
      <c r="E4" s="4" t="n"/>
    </row>
    <row r="5" ht="18.5" customHeight="1">
      <c r="A5" s="14" t="inlineStr">
        <is>
          <t>Breakeven arithmetic for the buyer to run on their own numbers. Never a promise that Rempo produces jobs or reviews (GTM-BRIEF.md Section 5).</t>
        </is>
      </c>
    </row>
    <row r="7" ht="22" customHeight="1">
      <c r="A7" s="3" t="inlineStr">
        <is>
          <t>Anchor 1. Cost of the problem (scenarios)</t>
        </is>
      </c>
      <c r="B7" s="4" t="n"/>
      <c r="C7" s="4" t="n"/>
      <c r="D7" s="4" t="n"/>
      <c r="E7" s="4" t="n"/>
    </row>
    <row r="8" ht="19.5" customHeight="1">
      <c r="A8" s="5" t="inlineStr">
        <is>
          <t>Problem Scenario</t>
        </is>
      </c>
      <c r="B8" s="5" t="inlineStr">
        <is>
          <t>Cost Without Solution</t>
        </is>
      </c>
      <c r="C8" s="5" t="inlineStr">
        <is>
          <t>Annual Subscription Cost</t>
        </is>
      </c>
      <c r="D8" s="5" t="inlineStr">
        <is>
          <t>ROI Multiple</t>
        </is>
      </c>
    </row>
    <row r="9" ht="32" customHeight="1">
      <c r="A9" s="6" t="inlineStr">
        <is>
          <t>One plumbing job a month goes to a shop with fresher reviews</t>
        </is>
      </c>
      <c r="B9" s="7" t="inlineStr">
        <is>
          <t>$338 × 12 = $4,056 (Angi average job)</t>
        </is>
      </c>
      <c r="C9" s="7" t="inlineStr">
        <is>
          <t>Review Engine: $2,364 plus $299 setup = $2,663 in year 1</t>
        </is>
      </c>
      <c r="D9" s="7" t="inlineStr">
        <is>
          <t>1.5x in year 1; 1.7x from year 2</t>
        </is>
      </c>
    </row>
    <row r="10" ht="18.5" customHeight="1">
      <c r="A10" s="9" t="inlineStr">
        <is>
          <t>One HVAC repair a month goes elsewhere</t>
        </is>
      </c>
      <c r="B10" s="10" t="inlineStr">
        <is>
          <t>$350 × 12 = $4,200 (Angi average repair)</t>
        </is>
      </c>
      <c r="C10" s="15" t="n">
        <v>2663</v>
      </c>
      <c r="D10" s="10" t="inlineStr">
        <is>
          <t>1.6x in year 1; 1.8x from year 2</t>
        </is>
      </c>
    </row>
    <row r="11" ht="32" customHeight="1">
      <c r="A11" s="6" t="inlineStr">
        <is>
          <t>Office staff ask and follow up by hand, 3 hours a week</t>
        </is>
      </c>
      <c r="B11" s="7" t="inlineStr">
        <is>
          <t>$2,850 a year ($950 per weekly hour at the BLS median receptionist wage, $18.27/hour, May 2025)</t>
        </is>
      </c>
      <c r="C11" s="16" t="n">
        <v>2663</v>
      </c>
      <c r="D11" s="7" t="inlineStr">
        <is>
          <t>1.1x in year 1; 1.2x from year 2</t>
        </is>
      </c>
    </row>
    <row r="13" ht="18.5" customHeight="1">
      <c r="A13" s="14" t="inlineStr">
        <is>
          <t>For shops that buy Google Local Services Ads, Google states that rating and number of reviews affect ranking there, and that higher-quality profiles may pay less per lead (research Step 0D). The size of that effect is not published, so it is a reason, not a number.</t>
        </is>
      </c>
    </row>
    <row r="15" ht="22" customHeight="1">
      <c r="A15" s="3" t="inlineStr">
        <is>
          <t>Anchor 2. Alternative comparison</t>
        </is>
      </c>
      <c r="B15" s="4" t="n"/>
      <c r="C15" s="4" t="n"/>
      <c r="D15" s="4" t="n"/>
      <c r="E15" s="4" t="n"/>
    </row>
    <row r="16" ht="19.5" customHeight="1">
      <c r="A16" s="5" t="inlineStr">
        <is>
          <t>Alternative</t>
        </is>
      </c>
      <c r="B16" s="5" t="inlineStr">
        <is>
          <t>Their Cost</t>
        </is>
      </c>
      <c r="C16" s="5" t="inlineStr">
        <is>
          <t>Our Cost</t>
        </is>
      </c>
      <c r="D16" s="5" t="inlineStr">
        <is>
          <t>Savings %</t>
        </is>
      </c>
    </row>
    <row r="17" ht="18.5" customHeight="1">
      <c r="A17" s="6" t="inlineStr">
        <is>
          <t>Podium Core (third-party reported list; annual terms)</t>
        </is>
      </c>
      <c r="B17" s="7" t="inlineStr">
        <is>
          <t>About $399/month</t>
        </is>
      </c>
      <c r="C17" s="7" t="inlineStr">
        <is>
          <t>$197/month</t>
        </is>
      </c>
      <c r="D17" s="17" t="n">
        <v>0.506</v>
      </c>
    </row>
    <row r="18" ht="18.5" customHeight="1">
      <c r="A18" s="9" t="inlineStr">
        <is>
          <t>Done-for-you review services (agency guides)</t>
        </is>
      </c>
      <c r="B18" s="10" t="inlineStr">
        <is>
          <t>$500 to $2,500/month</t>
        </is>
      </c>
      <c r="C18" s="10" t="inlineStr">
        <is>
          <t>$197/month</t>
        </is>
      </c>
      <c r="D18" s="10" t="inlineStr">
        <is>
          <t>60.6% to 92.1%</t>
        </is>
      </c>
    </row>
    <row r="19" ht="18.5" customHeight="1">
      <c r="A19" s="6" t="inlineStr">
        <is>
          <t>Agency Google Business Profile management</t>
        </is>
      </c>
      <c r="B19" s="7" t="inlineStr">
        <is>
          <t>$300 to $1,200/month</t>
        </is>
      </c>
      <c r="C19" s="7" t="inlineStr">
        <is>
          <t>$197 + $97 = $294/month with GBP Upkeep</t>
        </is>
      </c>
      <c r="D19" s="7" t="inlineStr">
        <is>
          <t>2.0% to 75.5%</t>
        </is>
      </c>
    </row>
    <row r="20" ht="32" customHeight="1">
      <c r="A20" s="9" t="inlineStr">
        <is>
          <t>Footbridge Media (website and marketing bundle)</t>
        </is>
      </c>
      <c r="B20" s="10" t="inlineStr">
        <is>
          <t>$249/month</t>
        </is>
      </c>
      <c r="C20" s="10" t="inlineStr">
        <is>
          <t>$197/month</t>
        </is>
      </c>
      <c r="D20" s="10" t="inlineStr">
        <is>
          <t>20.9%, but Footbridge includes a website; the comparison is reviews run for you against a bundle with a review tool</t>
        </is>
      </c>
    </row>
    <row r="21" ht="18.5" customHeight="1">
      <c r="A21" s="6" t="inlineStr">
        <is>
          <t>NiceJob</t>
        </is>
      </c>
      <c r="B21" s="7" t="inlineStr">
        <is>
          <t>$75 to $125/month</t>
        </is>
      </c>
      <c r="C21" s="7" t="inlineStr">
        <is>
          <t>$197/month</t>
        </is>
      </c>
      <c r="D21" s="7" t="inlineStr">
        <is>
          <t>None. The anchor is who does the work, not the price</t>
        </is>
      </c>
    </row>
    <row r="22" ht="18.5" customHeight="1">
      <c r="A22" s="9" t="inlineStr">
        <is>
          <t>The review switch in Jobber or Housecall Pro</t>
        </is>
      </c>
      <c r="B22" s="10" t="inlineStr">
        <is>
          <t>Inside a $119 to $329/month plan</t>
        </is>
      </c>
      <c r="C22" s="10" t="inlineStr">
        <is>
          <t>$197/month</t>
        </is>
      </c>
      <c r="D22" s="10" t="inlineStr">
        <is>
          <t>None. Same point</t>
        </is>
      </c>
    </row>
    <row r="23" ht="18.5" customHeight="1">
      <c r="A23" s="6" t="inlineStr">
        <is>
          <t>Office staff, the status quo</t>
        </is>
      </c>
      <c r="B23" s="7" t="inlineStr">
        <is>
          <t>$950 a year per weekly hour</t>
        </is>
      </c>
      <c r="C23" s="7" t="inlineStr">
        <is>
          <t>$2,364 a year</t>
        </is>
      </c>
      <c r="D23" s="7" t="inlineStr">
        <is>
          <t>Depends on hours</t>
        </is>
      </c>
    </row>
    <row r="25" ht="18.5" customHeight="1">
      <c r="A25" s="14" t="inlineStr">
        <is>
          <t>Against NiceJob and the job-software switch, Rempo costs more and should say so plainly: those are tools you run, and Rempo is a service that runs.</t>
        </is>
      </c>
    </row>
    <row r="27" ht="22" customHeight="1">
      <c r="A27" s="3" t="inlineStr">
        <is>
          <t>Anchor 3. Breakeven</t>
        </is>
      </c>
      <c r="B27" s="4" t="n"/>
      <c r="C27" s="4" t="n"/>
      <c r="D27" s="4" t="n"/>
      <c r="E27" s="4" t="n"/>
    </row>
    <row r="28" ht="19.5" customHeight="1">
      <c r="A28" s="5" t="inlineStr">
        <is>
          <t>Plan</t>
        </is>
      </c>
      <c r="B28" s="5" t="inlineStr">
        <is>
          <t>Annual Cost</t>
        </is>
      </c>
      <c r="C28" s="5" t="inlineStr">
        <is>
          <t>Value Needed to Break Even</t>
        </is>
      </c>
      <c r="D28" s="5" t="inlineStr">
        <is>
          <t>Typical Customer Value</t>
        </is>
      </c>
      <c r="E28" s="5" t="inlineStr">
        <is>
          <t>Payback Period</t>
        </is>
      </c>
    </row>
    <row r="29" ht="32" customHeight="1">
      <c r="A29" s="6" t="inlineStr">
        <is>
          <t>Review Engine</t>
        </is>
      </c>
      <c r="B29" s="7" t="inlineStr">
        <is>
          <t>$2,663 in year 1 ($2,364 plus $299 setup)</t>
        </is>
      </c>
      <c r="C29" s="7" t="inlineStr">
        <is>
          <t>7.9 average plumbing jobs or 7.6 HVAC repairs a year; 7.0 plumbing jobs from year 2</t>
        </is>
      </c>
      <c r="D29" s="7" t="inlineStr">
        <is>
          <t>$338 plumbing job, $350 HVAC repair (Angi)</t>
        </is>
      </c>
      <c r="E29" s="7" t="inlineStr">
        <is>
          <t>One additional average job about every 6.6 weeks</t>
        </is>
      </c>
    </row>
    <row r="30" ht="18.5" customHeight="1">
      <c r="A30" s="9" t="inlineStr">
        <is>
          <t>Review Engine plus GBP Upkeep</t>
        </is>
      </c>
      <c r="B30" s="10" t="inlineStr">
        <is>
          <t>$3,827 in year 1 ($3,528 plus $299 setup)</t>
        </is>
      </c>
      <c r="C30" s="10" t="inlineStr">
        <is>
          <t>11.3 plumbing jobs or 10.9 HVAC repairs a year</t>
        </is>
      </c>
      <c r="D30" s="10" t="inlineStr">
        <is>
          <t>Same</t>
        </is>
      </c>
      <c r="E30" s="10" t="inlineStr">
        <is>
          <t>About one additional average job a month</t>
        </is>
      </c>
    </row>
    <row r="33" ht="22" customHeight="1">
      <c r="A33" s="3" t="inlineStr">
        <is>
          <t>"One job covers X months" calculator</t>
        </is>
      </c>
      <c r="B33" s="4" t="n"/>
      <c r="C33" s="4" t="n"/>
      <c r="D33" s="4" t="n"/>
      <c r="E33" s="4" t="n"/>
    </row>
    <row r="34" ht="19.5" customHeight="1">
      <c r="A34" s="5" t="inlineStr">
        <is>
          <t>One job value</t>
        </is>
      </c>
      <c r="B34" s="5" t="inlineStr">
        <is>
          <t>Plan</t>
        </is>
      </c>
      <c r="C34" s="5" t="inlineStr">
        <is>
          <t>Months of subscription covered</t>
        </is>
      </c>
    </row>
    <row r="35" ht="18.5" customHeight="1">
      <c r="A35" s="6" t="inlineStr">
        <is>
          <t>$338 (average plumbing job)</t>
        </is>
      </c>
      <c r="B35" s="7" t="inlineStr">
        <is>
          <t>Review Engine</t>
        </is>
      </c>
      <c r="C35" s="8" t="n">
        <v>1.7</v>
      </c>
    </row>
    <row r="36" ht="18.5" customHeight="1">
      <c r="A36" s="9" t="inlineStr">
        <is>
          <t>$350 (average HVAC repair)</t>
        </is>
      </c>
      <c r="B36" s="10" t="inlineStr">
        <is>
          <t>Review Engine</t>
        </is>
      </c>
      <c r="C36" s="11" t="n">
        <v>1.8</v>
      </c>
    </row>
    <row r="37" ht="18.5" customHeight="1">
      <c r="A37" s="6" t="inlineStr">
        <is>
          <t>$338 (average plumbing job)</t>
        </is>
      </c>
      <c r="B37" s="7" t="inlineStr">
        <is>
          <t>Review Engine plus GBP Upkeep</t>
        </is>
      </c>
      <c r="C37" s="8" t="n">
        <v>1.1</v>
      </c>
    </row>
    <row r="38" ht="18.5" customHeight="1">
      <c r="A38" s="9" t="inlineStr">
        <is>
          <t>$350 (average HVAC repair)</t>
        </is>
      </c>
      <c r="B38" s="10" t="inlineStr">
        <is>
          <t>Review Engine plus GBP Upkeep</t>
        </is>
      </c>
      <c r="C38" s="11" t="n">
        <v>1.2</v>
      </c>
    </row>
    <row r="40" ht="18.5" customHeight="1">
      <c r="A40" s="14" t="inlineStr">
        <is>
          <r>
            <rPr>
              <rFont val="Arial"/>
              <b val="1"/>
              <color rgb="001B2A44"/>
              <sz val="10"/>
            </rPr>
            <t>Message, as breakeven arithmetic:</t>
          </r>
          <r>
            <rPr>
              <rFont val="Arial"/>
              <color rgb="001B2A44"/>
              <sz val="10"/>
            </rPr>
            <t xml:space="preserve"> "One average plumbing job covers more than a month and a half." The buyer checks it with their own ticket size; it is never a promise of new jobs.</t>
          </r>
        </is>
      </c>
    </row>
  </sheetData>
  <mergeCells count="11">
    <mergeCell ref="A4:E4"/>
    <mergeCell ref="A2:E2"/>
    <mergeCell ref="A15:E15"/>
    <mergeCell ref="A7:E7"/>
    <mergeCell ref="A25:E25"/>
    <mergeCell ref="A33:E33"/>
    <mergeCell ref="A1:E1"/>
    <mergeCell ref="A5:E5"/>
    <mergeCell ref="A13:E13"/>
    <mergeCell ref="A40:E40"/>
    <mergeCell ref="A27:E27"/>
  </mergeCells>
  <printOptions horizontalCentered="1"/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1A5CF0"/>
    <outlinePr summaryBelow="1" summaryRight="1"/>
    <pageSetUpPr fitToPage="1"/>
  </sheetPr>
  <dimension ref="A1:D41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26" customWidth="1" min="3" max="3"/>
    <col width="31" customWidth="1" min="4" max="4"/>
  </cols>
  <sheetData>
    <row r="1" ht="30" customHeight="1">
      <c r="A1" s="1" t="inlineStr">
        <is>
          <t>Rempo go-to-market  ·  Pricing and Packaging</t>
        </is>
      </c>
    </row>
    <row r="2" ht="16" customHeight="1">
      <c r="A2" s="2" t="inlineStr">
        <is>
          <t>Funnel Economics.  Skill phase: Phase 9.  Source: dashboards/09-pricing-packaging.md (Run 2, 2026-10-19).</t>
        </is>
      </c>
    </row>
    <row r="4" ht="22" customHeight="1">
      <c r="A4" s="3" t="inlineStr">
        <is>
          <t>Section 9.4. Funnel economics</t>
        </is>
      </c>
      <c r="B4" s="4" t="n"/>
      <c r="C4" s="4" t="n"/>
      <c r="D4" s="4" t="n"/>
    </row>
    <row r="6" ht="22" customHeight="1">
      <c r="A6" s="3" t="inlineStr">
        <is>
          <t>A. What one buyer is worth at checkout (planning scenario)</t>
        </is>
      </c>
      <c r="B6" s="4" t="n"/>
      <c r="C6" s="4" t="n"/>
      <c r="D6" s="4" t="n"/>
    </row>
    <row r="7" ht="32" customHeight="1">
      <c r="A7" s="14" t="inlineStr">
        <is>
          <t>Take rates are planning assumptions from vendor benchmarks (research Step 0D, section 7: order bumps typically 15% to 40%, one-click upsells 10% to 25%), to be replaced by Rempo's own rates in Phase 10.</t>
        </is>
      </c>
    </row>
    <row r="8" ht="19.5" customHeight="1">
      <c r="A8" s="5" t="inlineStr">
        <is>
          <t>Line</t>
        </is>
      </c>
      <c r="B8" s="5" t="inlineStr">
        <is>
          <t>Price</t>
        </is>
      </c>
      <c r="C8" s="5" t="inlineStr">
        <is>
          <t>Planning take rate</t>
        </is>
      </c>
      <c r="D8" s="5" t="inlineStr">
        <is>
          <t>Value per buyer</t>
        </is>
      </c>
    </row>
    <row r="9" ht="18.5" customHeight="1">
      <c r="A9" s="6" t="inlineStr">
        <is>
          <t>Review Engine, first month</t>
        </is>
      </c>
      <c r="B9" s="18" t="n">
        <v>197</v>
      </c>
      <c r="C9" s="19" t="n">
        <v>1</v>
      </c>
      <c r="D9" s="16">
        <f>ROUND(B9*C9,0)</f>
        <v>197</v>
      </c>
    </row>
    <row r="10" ht="18.5" customHeight="1">
      <c r="A10" s="9" t="inlineStr">
        <is>
          <t>Setup fee</t>
        </is>
      </c>
      <c r="B10" s="18" t="n">
        <v>299</v>
      </c>
      <c r="C10" s="19" t="n">
        <v>1</v>
      </c>
      <c r="D10" s="15">
        <f>ROUND(B10*C10,0)</f>
        <v>299</v>
      </c>
    </row>
    <row r="11" ht="18.5" customHeight="1">
      <c r="A11" s="6" t="inlineStr">
        <is>
          <t>GBP Tune-Up (order bump)</t>
        </is>
      </c>
      <c r="B11" s="20" t="n">
        <v>197</v>
      </c>
      <c r="C11" s="19" t="n">
        <v>0.3</v>
      </c>
      <c r="D11" s="16">
        <f>ROUND(B11*C11,0)</f>
        <v>59</v>
      </c>
    </row>
    <row r="12" ht="18.5" customHeight="1">
      <c r="A12" s="9" t="inlineStr">
        <is>
          <t>GBP Upkeep (one-click upsell), first month</t>
        </is>
      </c>
      <c r="B12" s="18" t="n">
        <v>97</v>
      </c>
      <c r="C12" s="19" t="n">
        <v>0.2</v>
      </c>
      <c r="D12" s="15">
        <f>ROUND(B12*C12,0)</f>
        <v>19</v>
      </c>
    </row>
    <row r="13" ht="18.5" customHeight="1">
      <c r="A13" s="21" t="inlineStr">
        <is>
          <t>Cash collected per buyer at purchase</t>
        </is>
      </c>
      <c r="B13" s="22" t="inlineStr"/>
      <c r="C13" s="22" t="inlineStr"/>
      <c r="D13" s="23">
        <f>SUM(D9:D12)</f>
        <v>574</v>
      </c>
    </row>
    <row r="14" ht="18.5" customHeight="1">
      <c r="A14" s="21" t="inlineStr">
        <is>
          <t>Monthly recurring per buyer</t>
        </is>
      </c>
      <c r="B14" s="22" t="inlineStr">
        <is>
          <t>$197 + 20% × $97</t>
        </is>
      </c>
      <c r="C14" s="22" t="inlineStr"/>
      <c r="D14" s="23">
        <f>B9+C12*B12</f>
        <v>216.4</v>
      </c>
    </row>
    <row r="17" ht="22" customHeight="1">
      <c r="A17" s="3" t="inlineStr">
        <is>
          <t>B. Payback on the $350 working CAC</t>
        </is>
      </c>
      <c r="B17" s="4" t="n"/>
      <c r="C17" s="4" t="n"/>
      <c r="D17" s="4" t="n"/>
    </row>
    <row r="18" ht="19.5" customHeight="1">
      <c r="A18" s="5" t="inlineStr">
        <is>
          <t>Basis</t>
        </is>
      </c>
      <c r="B18" s="5" t="inlineStr">
        <is>
          <t>Monthly revenue</t>
        </is>
      </c>
      <c r="C18" s="5" t="inlineStr">
        <is>
          <t>Months to recover $350</t>
        </is>
      </c>
    </row>
    <row r="19" ht="18.5" customHeight="1">
      <c r="A19" s="6" t="inlineStr">
        <is>
          <t>Front-end only</t>
        </is>
      </c>
      <c r="B19" s="16">
        <f>B9</f>
        <v>197</v>
      </c>
      <c r="C19" s="8">
        <f>350/B19</f>
        <v>1.77664974619289</v>
      </c>
    </row>
    <row r="20" ht="18.5" customHeight="1">
      <c r="A20" s="9" t="inlineStr">
        <is>
          <t>Front-end plus planning upsell rate</t>
        </is>
      </c>
      <c r="B20" s="15">
        <f>D14</f>
        <v>216.4</v>
      </c>
      <c r="C20" s="11">
        <f>350/B20</f>
        <v>1.6173752310536</v>
      </c>
    </row>
    <row r="22" ht="18.5" customHeight="1">
      <c r="A22" s="14" t="inlineStr">
        <is>
          <t>Revenue before delivery cost: gross margin is {TBD}. The setup fee and the Tune-Up are treated as paying for their own labor, so payback is measured on the subscription.</t>
        </is>
      </c>
    </row>
    <row r="24" ht="22" customHeight="1">
      <c r="A24" s="3" t="inlineStr">
        <is>
          <t>C. What a customer is worth over their life (scenario)</t>
        </is>
      </c>
      <c r="B24" s="4" t="n"/>
      <c r="C24" s="4" t="n"/>
      <c r="D24" s="4" t="n"/>
    </row>
    <row r="25" ht="32" customHeight="1">
      <c r="A25" s="14" t="inlineStr">
        <is>
          <t>Rempo's churn is unknown. Public ranges: small-business SaaS about 3% to 5% a month (Run 1 sources); agency retainers about 1.6% a month, SEO services about 3.2% (vendor reports, research Step 0D). The table uses 3% to 5%, the more cautious range, until Rempo has its own.</t>
        </is>
      </c>
    </row>
    <row r="26" ht="19.5" customHeight="1">
      <c r="A26" s="5" t="inlineStr">
        <is>
          <t>Per location</t>
        </is>
      </c>
      <c r="B26" s="5" t="inlineStr">
        <is>
          <t>Monthly churn scenario</t>
        </is>
      </c>
      <c r="C26" s="5" t="inlineStr">
        <is>
          <t>Expected life</t>
        </is>
      </c>
      <c r="D26" s="5" t="inlineStr">
        <is>
          <t>Subscription revenue over life</t>
        </is>
      </c>
    </row>
    <row r="27" ht="18.5" customHeight="1">
      <c r="A27" s="6" t="inlineStr">
        <is>
          <t>Review Engine at $197</t>
        </is>
      </c>
      <c r="B27" s="7" t="inlineStr">
        <is>
          <t>3% to 5% (mid case 4%)</t>
        </is>
      </c>
      <c r="C27" s="7" t="inlineStr">
        <is>
          <t>20 to 33 months (mid 25)</t>
        </is>
      </c>
      <c r="D27" s="7" t="inlineStr">
        <is>
          <t>$3,940 to $6,567 (mid $4,925)</t>
        </is>
      </c>
    </row>
    <row r="28" ht="18.5" customHeight="1">
      <c r="A28" s="9" t="inlineStr">
        <is>
          <t>Review Engine plus GBP Upkeep at $294</t>
        </is>
      </c>
      <c r="B28" s="10" t="inlineStr">
        <is>
          <t>Same</t>
        </is>
      </c>
      <c r="C28" s="10" t="inlineStr">
        <is>
          <t>Same</t>
        </is>
      </c>
      <c r="D28" s="10" t="inlineStr">
        <is>
          <t>$5,880 to $9,800 (mid $7,350)</t>
        </is>
      </c>
    </row>
    <row r="31" ht="22" customHeight="1">
      <c r="A31" s="3" t="inlineStr">
        <is>
          <t>D. Unit economics structure (fill as data arrives)</t>
        </is>
      </c>
      <c r="B31" s="4" t="n"/>
      <c r="C31" s="4" t="n"/>
      <c r="D31" s="4" t="n"/>
    </row>
    <row r="32" ht="19.5" customHeight="1">
      <c r="A32" s="5" t="inlineStr">
        <is>
          <t>Line</t>
        </is>
      </c>
      <c r="B32" s="5" t="inlineStr">
        <is>
          <t>Value</t>
        </is>
      </c>
    </row>
    <row r="33" ht="32" customHeight="1">
      <c r="A33" s="6" t="inlineStr">
        <is>
          <t>GoHighLevel usage per account (SMS, email, AI credits)</t>
        </is>
      </c>
      <c r="B33" s="7" t="inlineStr">
        <is>
          <t>{TBD}; public range $30 to $300 a month depending on volume (third-party guide)</t>
        </is>
      </c>
    </row>
    <row r="34" ht="18.5" customHeight="1">
      <c r="A34" s="9" t="inlineStr">
        <is>
          <t>GoHighLevel plan (fixed, not per account)</t>
        </is>
      </c>
      <c r="B34" s="10" t="inlineStr">
        <is>
          <t>$297 or $497 a month, depending on plan (third-party guide)</t>
        </is>
      </c>
    </row>
    <row r="35" ht="45.5" customHeight="1">
      <c r="A35" s="6" t="inlineStr">
        <is>
          <t>Texting registration per account</t>
        </is>
      </c>
      <c r="B35" s="7" t="inlineStr">
        <is>
          <t>One-time: brand about $4.50 to $48.51, campaign vetting about $15 to $16.54; monthly campaign fee about $1.50 to $10 (third-party; check current rates)</t>
        </is>
      </c>
    </row>
    <row r="36" ht="18.5" customHeight="1">
      <c r="A36" s="9" t="inlineStr">
        <is>
          <t>Personalized image tool per account</t>
        </is>
      </c>
      <c r="B36" s="10" t="inlineStr">
        <is>
          <t>{TBD}</t>
        </is>
      </c>
    </row>
    <row r="37" ht="18.5" customHeight="1">
      <c r="A37" s="6" t="inlineStr">
        <is>
          <t>Assistant setup hours per account × hourly cost</t>
        </is>
      </c>
      <c r="B37" s="7" t="inlineStr">
        <is>
          <t>{TBD}</t>
        </is>
      </c>
    </row>
    <row r="38" ht="18.5" customHeight="1">
      <c r="A38" s="9" t="inlineStr">
        <is>
          <t>Assistant monthly hours per account (reply checks, report)</t>
        </is>
      </c>
      <c r="B38" s="10" t="inlineStr">
        <is>
          <t>{TBD}</t>
        </is>
      </c>
    </row>
    <row r="39" ht="18.5" customHeight="1">
      <c r="A39" s="6" t="inlineStr">
        <is>
          <t>Founder onboarding and 30-day review time per account</t>
        </is>
      </c>
      <c r="B39" s="7" t="inlineStr">
        <is>
          <t>{TBD}</t>
        </is>
      </c>
    </row>
    <row r="40" ht="18.5" customHeight="1">
      <c r="A40" s="9" t="inlineStr">
        <is>
          <t>Gross margin</t>
        </is>
      </c>
      <c r="B40" s="10" t="inlineStr">
        <is>
          <t>{TBD}</t>
        </is>
      </c>
    </row>
    <row r="41" ht="18.5" customHeight="1">
      <c r="A41" s="6" t="inlineStr">
        <is>
          <t>CAC payback in months</t>
        </is>
      </c>
      <c r="B41" s="7" t="inlineStr">
        <is>
          <t>CAC ÷ (monthly revenue × gross margin)</t>
        </is>
      </c>
    </row>
  </sheetData>
  <mergeCells count="10">
    <mergeCell ref="A1:D1"/>
    <mergeCell ref="A17:D17"/>
    <mergeCell ref="A31:D31"/>
    <mergeCell ref="A6:D6"/>
    <mergeCell ref="A22:D22"/>
    <mergeCell ref="A4:D4"/>
    <mergeCell ref="A7:D7"/>
    <mergeCell ref="A25:D25"/>
    <mergeCell ref="A24:D24"/>
    <mergeCell ref="A2:D2"/>
  </mergeCells>
  <conditionalFormatting sqref="A33:B41">
    <cfRule type="expression" priority="1" dxfId="5" stopIfTrue="1">
      <formula>ISNUMBER(SEARCH("{TBD}",A33))</formula>
    </cfRule>
  </conditionalFormatting>
  <printOptions horizontalCentered="1"/>
  <pageMargins left="0.4" right="0.4" top="0.5" bottom="0.5" header="0.5" footer="0.5"/>
  <pageSetup orientation="landscape" paperSize="1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0A1A33"/>
    <outlinePr summaryBelow="1" summaryRight="1"/>
    <pageSetUpPr fitToPage="1"/>
  </sheetPr>
  <dimension ref="A1:A9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Rempo go-to-market  ·  Pricing and Packaging</t>
        </is>
      </c>
    </row>
    <row r="2" ht="16" customHeight="1">
      <c r="A2" s="2" t="inlineStr">
        <is>
          <t>Sources.  Skill phase: Phase 9.  Source: dashboards/09-pricing-packaging.md (Run 2, 2026-10-19).</t>
        </is>
      </c>
    </row>
    <row r="4" ht="22" customHeight="1">
      <c r="A4" s="3" t="inlineStr">
        <is>
          <t>Sources</t>
        </is>
      </c>
    </row>
    <row r="5" ht="18.5" customHeight="1">
      <c r="A5" s="13" t="inlineStr">
        <is>
          <t>•  Rempo prices: sources/pricing-page.md; the founder's matrices: sources/founder-matrices.md</t>
        </is>
      </c>
    </row>
    <row r="6" ht="18.5" customHeight="1">
      <c r="A6" s="13" t="inlineStr">
        <is>
          <t>•  Market prices, cost-to-serve inputs, take rates, churn: research/step-0d-service-outcomes.md, sections 5 to 7</t>
        </is>
      </c>
    </row>
    <row r="7" ht="18.5" customHeight="1">
      <c r="A7" s="13" t="inlineStr">
        <is>
          <t>•  Job values: https://www.angi.com/articles/plumber-cost.htm, https://www.angi.com/articles/how-much-hvac-repair-cost.htm</t>
        </is>
      </c>
    </row>
    <row r="8" ht="18.5" customHeight="1">
      <c r="A8" s="13" t="inlineStr">
        <is>
          <t>•  Wages: https://www.bls.gov/ooh/office-and-administrative-support/receptionists.htm</t>
        </is>
      </c>
    </row>
    <row r="9" ht="18.5" customHeight="1">
      <c r="A9" s="13" t="inlineStr">
        <is>
          <t>•  Run 1 churn sources: https://optif.ai/learn/questions/b2b-saas-churn-rate-benchmark/, https://pmtoolkit.ai/calculators/churn-rate/saas</t>
        </is>
      </c>
    </row>
  </sheetData>
  <hyperlinks>
    <hyperlink xmlns:r="http://schemas.openxmlformats.org/officeDocument/2006/relationships" ref="A8" r:id="rId1"/>
  </hyperlinks>
  <printOptions horizontalCentered="1"/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2EAD6B"/>
    <outlinePr summaryBelow="1" summaryRight="1"/>
    <pageSetUpPr fitToPage="1"/>
  </sheetPr>
  <dimension ref="A1:D51"/>
  <sheetViews>
    <sheetView showGridLines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8" customWidth="1" min="3" max="3"/>
    <col width="64" customWidth="1" min="4" max="4"/>
  </cols>
  <sheetData>
    <row r="1" ht="30" customHeight="1">
      <c r="A1" s="1" t="inlineStr">
        <is>
          <t>Rempo go-to-market  ·  Pricing and Packaging</t>
        </is>
      </c>
    </row>
    <row r="2" ht="16" customHeight="1">
      <c r="A2" s="2" t="inlineStr">
        <is>
          <t>ROI Calculator.  Skill phase: Phase 9.  Source: dashboards/09-pricing-packaging.md, Steps 9.3 and 9.4 (Run 2, 2026-10-19).</t>
        </is>
      </c>
    </row>
    <row r="4" ht="32" customHeight="1">
      <c r="A4" s="14" t="inlineStr">
        <is>
          <r>
            <rPr>
              <rFont val="Arial"/>
              <b val="1"/>
              <color rgb="001B2A44"/>
              <sz val="10"/>
            </rPr>
            <t>Change the blue numbers on yellow; everything else recalculates.</t>
          </r>
          <r>
            <rPr>
              <rFont val="Arial"/>
              <color rgb="001B2A44"/>
              <sz val="10"/>
            </rPr>
            <t xml:space="preserve"> Breakeven arithmetic for the buyer to run on their own numbers, and the funnel economics for Rempo. Never a promise that Rempo produces jobs or reviews (GTM-BRIEF.md Section 5).</t>
          </r>
        </is>
      </c>
    </row>
    <row r="6" ht="22" customHeight="1">
      <c r="A6" s="3" t="inlineStr">
        <is>
          <t>Inputs</t>
        </is>
      </c>
      <c r="B6" s="4" t="n"/>
      <c r="C6" s="4" t="n"/>
      <c r="D6" s="4" t="n"/>
    </row>
    <row r="7" ht="19.5" customHeight="1">
      <c r="A7" s="5" t="inlineStr">
        <is>
          <t>Input</t>
        </is>
      </c>
      <c r="B7" s="5" t="inlineStr">
        <is>
          <t>Value</t>
        </is>
      </c>
      <c r="C7" s="5" t="inlineStr">
        <is>
          <t>Unit</t>
        </is>
      </c>
      <c r="D7" s="5" t="inlineStr">
        <is>
          <t>Source</t>
        </is>
      </c>
    </row>
    <row r="8" ht="18.5" customHeight="1">
      <c r="A8" s="6" t="inlineStr">
        <is>
          <t>Average job value</t>
        </is>
      </c>
      <c r="B8" s="24" t="n">
        <v>338</v>
      </c>
      <c r="C8" s="7" t="inlineStr">
        <is>
          <t>$ per job</t>
        </is>
      </c>
      <c r="D8" s="7" t="inlineStr">
        <is>
          <t>Angi average plumbing job; use $350 for an average HVAC repair</t>
        </is>
      </c>
    </row>
    <row r="9" ht="32" customHeight="1">
      <c r="A9" s="9" t="inlineStr">
        <is>
          <t>Review Engine price</t>
        </is>
      </c>
      <c r="B9" s="24" t="n">
        <v>197</v>
      </c>
      <c r="C9" s="10" t="inlineStr">
        <is>
          <t>$ per location per month</t>
        </is>
      </c>
      <c r="D9" s="10" t="inlineStr">
        <is>
          <t>Phase 9 offer ladder</t>
        </is>
      </c>
    </row>
    <row r="10" ht="18.5" customHeight="1">
      <c r="A10" s="6" t="inlineStr">
        <is>
          <t>Setup fee</t>
        </is>
      </c>
      <c r="B10" s="24" t="n">
        <v>299</v>
      </c>
      <c r="C10" s="7" t="inlineStr">
        <is>
          <t>$ one-time</t>
        </is>
      </c>
      <c r="D10" s="7" t="inlineStr">
        <is>
          <t>Phase 9 offer ladder</t>
        </is>
      </c>
    </row>
    <row r="11" ht="32" customHeight="1">
      <c r="A11" s="9" t="inlineStr">
        <is>
          <t>GBP Upkeep price</t>
        </is>
      </c>
      <c r="B11" s="24" t="n">
        <v>97</v>
      </c>
      <c r="C11" s="10" t="inlineStr">
        <is>
          <t>$ per location per month</t>
        </is>
      </c>
      <c r="D11" s="10" t="inlineStr">
        <is>
          <t>Phase 9 add-ons (one-click upsell)</t>
        </is>
      </c>
    </row>
    <row r="12" ht="18.5" customHeight="1">
      <c r="A12" s="6" t="inlineStr">
        <is>
          <t>GBP Tune-Up price</t>
        </is>
      </c>
      <c r="B12" s="24" t="n">
        <v>197</v>
      </c>
      <c r="C12" s="7" t="inlineStr">
        <is>
          <t>$ one-time</t>
        </is>
      </c>
      <c r="D12" s="7" t="inlineStr">
        <is>
          <t>Phase 9 add-ons (order bump)</t>
        </is>
      </c>
    </row>
    <row r="13" ht="18.5" customHeight="1">
      <c r="A13" s="9" t="inlineStr">
        <is>
          <t>Order bump take rate</t>
        </is>
      </c>
      <c r="B13" s="25" t="n">
        <v>0.3</v>
      </c>
      <c r="C13" s="10" t="inlineStr">
        <is>
          <t>share of buyers</t>
        </is>
      </c>
      <c r="D13" s="10" t="inlineStr">
        <is>
          <t>Planning assumption; vendor benchmarks 15% to 40% (research Step 0D)</t>
        </is>
      </c>
    </row>
    <row r="14" ht="18.5" customHeight="1">
      <c r="A14" s="6" t="inlineStr">
        <is>
          <t>One-click upsell take rate</t>
        </is>
      </c>
      <c r="B14" s="25" t="n">
        <v>0.2</v>
      </c>
      <c r="C14" s="7" t="inlineStr">
        <is>
          <t>share of buyers</t>
        </is>
      </c>
      <c r="D14" s="7" t="inlineStr">
        <is>
          <t>Planning assumption; vendor benchmarks 10% to 25% (research Step 0D)</t>
        </is>
      </c>
    </row>
    <row r="15" ht="18.5" customHeight="1">
      <c r="A15" s="9" t="inlineStr">
        <is>
          <t>Working CAC</t>
        </is>
      </c>
      <c r="B15" s="24" t="n">
        <v>350</v>
      </c>
      <c r="C15" s="10" t="inlineStr">
        <is>
          <t>$ per buyer</t>
        </is>
      </c>
      <c r="D15" s="10" t="inlineStr">
        <is>
          <t>The founder's working number (GTM-BRIEF.md)</t>
        </is>
      </c>
    </row>
    <row r="16" ht="18.5" customHeight="1">
      <c r="A16" s="6" t="inlineStr">
        <is>
          <t>Monthly churn (scenario)</t>
        </is>
      </c>
      <c r="B16" s="26" t="n">
        <v>0.04</v>
      </c>
      <c r="C16" s="7" t="inlineStr">
        <is>
          <t>per month</t>
        </is>
      </c>
      <c r="D16" s="7" t="inlineStr">
        <is>
          <t>Mid case of the 3% to 5% range (Section 9.4 C)</t>
        </is>
      </c>
    </row>
    <row r="17" ht="32" customHeight="1">
      <c r="A17" s="9" t="inlineStr">
        <is>
          <t>Gross margin</t>
        </is>
      </c>
      <c r="B17" s="25" t="inlineStr">
        <is>
          <t>{TBD}</t>
        </is>
      </c>
      <c r="C17" s="10" t="inlineStr">
        <is>
          <t>share of revenue</t>
        </is>
      </c>
      <c r="D17" s="10" t="inlineStr">
        <is>
          <t>Unknown until delivery costs are logged (Section 9.4 D); type a % to see the margin payback</t>
        </is>
      </c>
    </row>
    <row r="18" ht="18.5" customHeight="1">
      <c r="A18" s="6" t="inlineStr">
        <is>
          <t>Office hours spent asking by hand</t>
        </is>
      </c>
      <c r="B18" s="27" t="n">
        <v>3</v>
      </c>
      <c r="C18" s="7" t="inlineStr">
        <is>
          <t>hours per week</t>
        </is>
      </c>
      <c r="D18" s="7" t="inlineStr">
        <is>
          <t>Anchor 1 scenario</t>
        </is>
      </c>
    </row>
    <row r="19" ht="18.5" customHeight="1">
      <c r="A19" s="9" t="inlineStr">
        <is>
          <t>Cost of one weekly hour</t>
        </is>
      </c>
      <c r="B19" s="24" t="n">
        <v>950</v>
      </c>
      <c r="C19" s="10" t="inlineStr">
        <is>
          <t>$ per year</t>
        </is>
      </c>
      <c r="D19" s="10" t="inlineStr">
        <is>
          <t>BLS median receptionist wage, $18.27/hour, May 2025, x 52 weeks</t>
        </is>
      </c>
    </row>
    <row r="22" ht="22" customHeight="1">
      <c r="A22" s="3" t="inlineStr">
        <is>
          <t>For the buyer: breakeven on their own numbers</t>
        </is>
      </c>
      <c r="B22" s="4" t="n"/>
      <c r="C22" s="4" t="n"/>
      <c r="D22" s="4" t="n"/>
    </row>
    <row r="23" ht="33" customHeight="1">
      <c r="A23" s="5" t="inlineStr">
        <is>
          <t>Output</t>
        </is>
      </c>
      <c r="B23" s="5" t="inlineStr">
        <is>
          <t>Review Engine</t>
        </is>
      </c>
      <c r="C23" s="5" t="inlineStr">
        <is>
          <t>Review Engine plus GBP Upkeep</t>
        </is>
      </c>
      <c r="D23" s="5" t="inlineStr">
        <is>
          <t>How it is calculated</t>
        </is>
      </c>
    </row>
    <row r="24" ht="18.5" customHeight="1">
      <c r="A24" s="6" t="inlineStr">
        <is>
          <t>Monthly cost</t>
        </is>
      </c>
      <c r="B24" s="28">
        <f>$B$9</f>
        <v>197</v>
      </c>
      <c r="C24" s="28">
        <f>$B$9+$B$11</f>
        <v>294</v>
      </c>
      <c r="D24" s="7" t="inlineStr">
        <is>
          <t>Price per location</t>
        </is>
      </c>
    </row>
    <row r="25" ht="18.5" customHeight="1">
      <c r="A25" s="9" t="inlineStr">
        <is>
          <t>Year 1 cost, with setup</t>
        </is>
      </c>
      <c r="B25" s="29">
        <f>12*$B$9+$B$10</f>
        <v>2663</v>
      </c>
      <c r="C25" s="29">
        <f>12*($B$9+$B$11)+$B$10</f>
        <v>3827</v>
      </c>
      <c r="D25" s="10" t="inlineStr">
        <is>
          <t>12 months plus the setup fee</t>
        </is>
      </c>
    </row>
    <row r="26" ht="18.5" customHeight="1">
      <c r="A26" s="6" t="inlineStr">
        <is>
          <t>Cost from year 2</t>
        </is>
      </c>
      <c r="B26" s="28">
        <f>12*$B$9</f>
        <v>2364</v>
      </c>
      <c r="C26" s="28">
        <f>12*($B$9+$B$11)</f>
        <v>3528</v>
      </c>
      <c r="D26" s="7" t="inlineStr">
        <is>
          <t>12 months</t>
        </is>
      </c>
    </row>
    <row r="27" ht="18.5" customHeight="1">
      <c r="A27" s="9" t="inlineStr">
        <is>
          <t>Jobs a year to break even, year 1</t>
        </is>
      </c>
      <c r="B27" s="30">
        <f>B25/$B$8</f>
        <v>7.87869822485207</v>
      </c>
      <c r="C27" s="30">
        <f>C25/$B$8</f>
        <v>11.3224852071006</v>
      </c>
      <c r="D27" s="10" t="inlineStr">
        <is>
          <t>Year 1 cost / job value</t>
        </is>
      </c>
    </row>
    <row r="28" ht="18.5" customHeight="1">
      <c r="A28" s="6" t="inlineStr">
        <is>
          <t>Jobs a year to break even, from year 2</t>
        </is>
      </c>
      <c r="B28" s="31">
        <f>B26/$B$8</f>
        <v>6.99408284023669</v>
      </c>
      <c r="C28" s="31">
        <f>C26/$B$8</f>
        <v>10.4378698224852</v>
      </c>
      <c r="D28" s="7" t="inlineStr">
        <is>
          <t>Year 2 cost / job value</t>
        </is>
      </c>
    </row>
    <row r="29" ht="18.5" customHeight="1">
      <c r="A29" s="9" t="inlineStr">
        <is>
          <t>One job covers (months of subscription)</t>
        </is>
      </c>
      <c r="B29" s="30">
        <f>$B$8/B24</f>
        <v>1.71573604060914</v>
      </c>
      <c r="C29" s="30">
        <f>$B$8/C24</f>
        <v>1.14965986394558</v>
      </c>
      <c r="D29" s="10" t="inlineStr">
        <is>
          <t>Job value / monthly cost</t>
        </is>
      </c>
    </row>
    <row r="30" ht="18.5" customHeight="1">
      <c r="A30" s="6" t="inlineStr">
        <is>
          <t>Return if one extra job a month, year 1</t>
        </is>
      </c>
      <c r="B30" s="32">
        <f>12*$B$8/B25</f>
        <v>1.52309425460008</v>
      </c>
      <c r="C30" s="32">
        <f>12*$B$8/C25</f>
        <v>1.05983799320617</v>
      </c>
      <c r="D30" s="7" t="inlineStr">
        <is>
          <t>12 jobs x job value / year 1 cost</t>
        </is>
      </c>
    </row>
    <row r="31" ht="18.5" customHeight="1">
      <c r="A31" s="9" t="inlineStr">
        <is>
          <t>Return if one extra job a month, from year 2</t>
        </is>
      </c>
      <c r="B31" s="33">
        <f>12*$B$8/B26</f>
        <v>1.71573604060914</v>
      </c>
      <c r="C31" s="33">
        <f>12*$B$8/C26</f>
        <v>1.14965986394558</v>
      </c>
      <c r="D31" s="10" t="inlineStr">
        <is>
          <t>12 jobs x job value / year 2 cost</t>
        </is>
      </c>
    </row>
    <row r="32" ht="18.5" customHeight="1">
      <c r="A32" s="6" t="inlineStr">
        <is>
          <t>Cost of asking by hand, a year</t>
        </is>
      </c>
      <c r="B32" s="28">
        <f>$B$18*$B$19</f>
        <v>2850</v>
      </c>
      <c r="C32" s="28">
        <f>$B$18*$B$19</f>
        <v>2850</v>
      </c>
      <c r="D32" s="7" t="inlineStr">
        <is>
          <t>Weekly hours x cost of one weekly hour</t>
        </is>
      </c>
    </row>
    <row r="35" ht="22" customHeight="1">
      <c r="A35" s="3" t="inlineStr">
        <is>
          <t>For Rempo: funnel economics</t>
        </is>
      </c>
      <c r="B35" s="4" t="n"/>
      <c r="C35" s="4" t="n"/>
      <c r="D35" s="4" t="n"/>
    </row>
    <row r="36" ht="19.5" customHeight="1">
      <c r="A36" s="5" t="inlineStr">
        <is>
          <t>Output</t>
        </is>
      </c>
      <c r="B36" s="5" t="inlineStr">
        <is>
          <t>Value</t>
        </is>
      </c>
      <c r="C36" s="5" t="inlineStr"/>
      <c r="D36" s="5" t="inlineStr">
        <is>
          <t>How it is calculated</t>
        </is>
      </c>
    </row>
    <row r="37" ht="18.5" customHeight="1">
      <c r="A37" s="6" t="inlineStr">
        <is>
          <t>Cash collected per buyer at purchase</t>
        </is>
      </c>
      <c r="B37" s="28">
        <f>$B$9+$B$10+ROUND($B$13*$B$12,0)+ROUND($B$14*$B$11,0)</f>
        <v>574</v>
      </c>
      <c r="C37" s="7" t="inlineStr"/>
      <c r="D37" s="7" t="inlineStr">
        <is>
          <t>First month + setup + bump x take rate + upsell x take rate</t>
        </is>
      </c>
    </row>
    <row r="38" ht="18.5" customHeight="1">
      <c r="A38" s="9" t="inlineStr">
        <is>
          <t>Monthly recurring per buyer</t>
        </is>
      </c>
      <c r="B38" s="29">
        <f>$B$9+$B$14*$B$11</f>
        <v>216.4</v>
      </c>
      <c r="C38" s="10" t="inlineStr"/>
      <c r="D38" s="10" t="inlineStr">
        <is>
          <t>Review Engine + upsell take rate x GBP Upkeep</t>
        </is>
      </c>
    </row>
    <row r="39" ht="18.5" customHeight="1">
      <c r="A39" s="6" t="inlineStr">
        <is>
          <t>CAC payback, front-end only (months)</t>
        </is>
      </c>
      <c r="B39" s="31">
        <f>$B$15/$B$9</f>
        <v>1.77664974619289</v>
      </c>
      <c r="C39" s="7" t="inlineStr"/>
      <c r="D39" s="7" t="inlineStr">
        <is>
          <t>CAC / Review Engine price</t>
        </is>
      </c>
    </row>
    <row r="40" ht="18.5" customHeight="1">
      <c r="A40" s="9" t="inlineStr">
        <is>
          <t>CAC payback, with planning upsell rate (months)</t>
        </is>
      </c>
      <c r="B40" s="30">
        <f>$B$15/B38</f>
        <v>1.6173752310536</v>
      </c>
      <c r="C40" s="10" t="inlineStr"/>
      <c r="D40" s="10" t="inlineStr">
        <is>
          <t>CAC / monthly recurring per buyer</t>
        </is>
      </c>
    </row>
    <row r="41" ht="18.5" customHeight="1">
      <c r="A41" s="6" t="inlineStr">
        <is>
          <t>Expected customer life (months)</t>
        </is>
      </c>
      <c r="B41" s="34">
        <f>1/$B$16</f>
        <v>25</v>
      </c>
      <c r="C41" s="7" t="inlineStr"/>
      <c r="D41" s="7" t="inlineStr">
        <is>
          <t>1 / monthly churn</t>
        </is>
      </c>
    </row>
    <row r="42" ht="18.5" customHeight="1">
      <c r="A42" s="9" t="inlineStr">
        <is>
          <t>Subscription revenue over life, Review Engine</t>
        </is>
      </c>
      <c r="B42" s="29">
        <f>$B$9*B41</f>
        <v>4925</v>
      </c>
      <c r="C42" s="10" t="inlineStr"/>
      <c r="D42" s="10" t="inlineStr">
        <is>
          <t>Price x expected life</t>
        </is>
      </c>
    </row>
    <row r="43" ht="18.5" customHeight="1">
      <c r="A43" s="6" t="inlineStr">
        <is>
          <t>Subscription revenue over life, with GBP Upkeep</t>
        </is>
      </c>
      <c r="B43" s="28">
        <f>($B$9+$B$11)*B41</f>
        <v>7350</v>
      </c>
      <c r="C43" s="7" t="inlineStr"/>
      <c r="D43" s="7" t="inlineStr">
        <is>
          <t>(Price + Upkeep) x expected life</t>
        </is>
      </c>
    </row>
    <row r="44" ht="32" customHeight="1">
      <c r="A44" s="9" t="inlineStr">
        <is>
          <t>CAC payback on gross margin (months)</t>
        </is>
      </c>
      <c r="B44" s="30" t="str">
        <f>IF(ISNUMBER($B$17),$B$15/(B38*$B$17),"{TBD}")</f>
        <v>{TBD}</v>
      </c>
      <c r="C44" s="10" t="inlineStr"/>
      <c r="D44" s="10" t="inlineStr">
        <is>
          <t>CAC / (monthly recurring x gross margin); waits for the gross margin input</t>
        </is>
      </c>
    </row>
    <row r="47" ht="22" customHeight="1">
      <c r="A47" s="3" t="inlineStr">
        <is>
          <t>Front-end CAC bands (the Phase 10 gates)</t>
        </is>
      </c>
      <c r="B47" s="4" t="n"/>
      <c r="C47" s="4" t="n"/>
      <c r="D47" s="4" t="n"/>
    </row>
    <row r="48" ht="19.5" customHeight="1">
      <c r="A48" s="5" t="inlineStr">
        <is>
          <t>Band</t>
        </is>
      </c>
      <c r="B48" s="5" t="inlineStr">
        <is>
          <t>Payback</t>
        </is>
      </c>
      <c r="C48" s="5" t="inlineStr">
        <is>
          <t>Front-end CAC up to</t>
        </is>
      </c>
      <c r="D48" s="5" t="inlineStr">
        <is>
          <t>How it is calculated</t>
        </is>
      </c>
    </row>
    <row r="49" ht="18.5" customHeight="1">
      <c r="A49" s="6" t="inlineStr">
        <is>
          <t>Green</t>
        </is>
      </c>
      <c r="B49" s="7" t="inlineStr">
        <is>
          <t>3 months or less</t>
        </is>
      </c>
      <c r="C49" s="35">
        <f>3*$B$9</f>
        <v>591</v>
      </c>
      <c r="D49" s="7" t="inlineStr">
        <is>
          <t>3 x Review Engine price</t>
        </is>
      </c>
    </row>
    <row r="50" ht="18.5" customHeight="1">
      <c r="A50" s="9" t="inlineStr">
        <is>
          <t>Yellow</t>
        </is>
      </c>
      <c r="B50" s="10" t="inlineStr">
        <is>
          <t>3 to 6 months</t>
        </is>
      </c>
      <c r="C50" s="36">
        <f>6*$B$9</f>
        <v>1182</v>
      </c>
      <c r="D50" s="10" t="inlineStr">
        <is>
          <t>6 x Review Engine price</t>
        </is>
      </c>
    </row>
    <row r="51" ht="18.5" customHeight="1">
      <c r="A51" s="6" t="inlineStr">
        <is>
          <t>Red</t>
        </is>
      </c>
      <c r="B51" s="7" t="inlineStr">
        <is>
          <t>More than 6 months</t>
        </is>
      </c>
      <c r="C51" s="7" t="str">
        <f>"More than "&amp;TEXT(C50,"$#,##0")</f>
        <v>More than $1,182</v>
      </c>
      <c r="D51" s="7" t="inlineStr">
        <is>
          <t>Anything above the yellow limit</t>
        </is>
      </c>
    </row>
  </sheetData>
  <mergeCells count="7">
    <mergeCell ref="A1:D1"/>
    <mergeCell ref="A6:D6"/>
    <mergeCell ref="A22:D22"/>
    <mergeCell ref="A35:D35"/>
    <mergeCell ref="A4:D4"/>
    <mergeCell ref="A2:D2"/>
    <mergeCell ref="A47:D47"/>
  </mergeCells>
  <conditionalFormatting sqref="B17">
    <cfRule type="expression" priority="1" dxfId="5" stopIfTrue="1">
      <formula>ISNUMBER(SEARCH("{TBD}",B17))</formula>
    </cfRule>
  </conditionalFormatting>
  <conditionalFormatting sqref="B44">
    <cfRule type="expression" priority="2" dxfId="5" stopIfTrue="1">
      <formula>ISNUMBER(SEARCH("{TBD}",B44))</formula>
    </cfRule>
  </conditionalFormatting>
  <conditionalFormatting sqref="A49:D51">
    <cfRule type="expression" priority="3" dxfId="0">
      <formula>TRIM($A49)="Green"</formula>
    </cfRule>
    <cfRule type="expression" priority="4" dxfId="2">
      <formula>TRIM($A49)="Yellow"</formula>
    </cfRule>
    <cfRule type="expression" priority="5" dxfId="4">
      <formula>TRIM($A49)="Red"</formula>
    </cfRule>
  </conditionalFormatting>
  <printOptions horizontalCentered="1"/>
  <pageMargins left="0.4" right="0.4" top="0.5" bottom="0.5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8296BC"/>
    <outlinePr summaryBelow="1" summaryRight="1"/>
    <pageSetUpPr fitToPage="1"/>
  </sheetPr>
  <dimension ref="A1:C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58" customWidth="1" min="3" max="3"/>
  </cols>
  <sheetData>
    <row r="1" ht="30" customHeight="1">
      <c r="A1" s="1" t="inlineStr">
        <is>
          <t>Rempo go-to-market  ·  Pricing and Packaging</t>
        </is>
      </c>
    </row>
    <row r="2">
      <c r="A2" s="37" t="inlineStr">
        <is>
          <t>Legend: what the colors mean, and the dropdown lists</t>
        </is>
      </c>
    </row>
    <row r="4" ht="28" customHeight="1">
      <c r="A4" s="14" t="inlineStr">
        <is>
          <t>•  Colors are conditional-formatting rules, not painted cells: change a value, or pick another option from a dropdown, and the color follows.</t>
        </is>
      </c>
    </row>
    <row r="5" ht="28" customHeight="1">
      <c r="A5" s="14" t="inlineStr">
        <is>
          <t>•  Header rows are royal blue. Rempo's own row or column is tinted brand blue, so it is easy to find in every comparison.</t>
        </is>
      </c>
    </row>
    <row r="6" ht="28" customHeight="1">
      <c r="A6" s="14" t="inlineStr">
        <is>
          <t>•  Orange marks the done-for-you service (the front-end offer and its upsells); violet marks the product layer behind it.</t>
        </is>
      </c>
    </row>
    <row r="7" ht="28" customHeight="1">
      <c r="A7" s="14" t="inlineStr">
        <is>
          <t>•  Blue numbers on a pale yellow fill are inputs you can change; black numbers are formulas and recalculate.</t>
        </is>
      </c>
    </row>
    <row r="9">
      <c r="A9" s="38" t="inlineStr">
        <is>
          <t>Colors used in this workbook</t>
        </is>
      </c>
      <c r="B9" s="4" t="n"/>
      <c r="C9" s="4" t="n"/>
    </row>
    <row r="10">
      <c r="A10" s="39" t="inlineStr">
        <is>
          <t>Looks like</t>
        </is>
      </c>
      <c r="B10" s="39" t="inlineStr">
        <is>
          <t>Means</t>
        </is>
      </c>
      <c r="C10" s="39" t="inlineStr">
        <is>
          <t>Where</t>
        </is>
      </c>
    </row>
    <row r="11" ht="17.5" customHeight="1">
      <c r="A11" s="40" t="inlineStr">
        <is>
          <t>Rempo</t>
        </is>
      </c>
      <c r="B11" s="41" t="inlineStr">
        <is>
          <t>Rempo's own row or column</t>
        </is>
      </c>
      <c r="C11" s="41" t="inlineStr">
        <is>
          <t>Every comparison table</t>
        </is>
      </c>
    </row>
    <row r="12" ht="17.5" customHeight="1">
      <c r="A12" s="42" t="inlineStr">
        <is>
          <t>{TBD}</t>
        </is>
      </c>
      <c r="B12" s="41" t="inlineStr">
        <is>
          <t>Unknown until Rempo has its own data. Never invented.</t>
        </is>
      </c>
      <c r="C12" s="41" t="inlineStr">
        <is>
          <t>Any cell; the color clears when the text is replaced</t>
        </is>
      </c>
    </row>
    <row r="13" ht="17.5" customHeight="1">
      <c r="A13" s="43" t="inlineStr">
        <is>
          <t>Order bump</t>
        </is>
      </c>
      <c r="B13" s="41" t="inlineStr">
        <is>
          <t>Place in the one funnel</t>
        </is>
      </c>
      <c r="C13" s="41" t="inlineStr">
        <is>
          <t>Offer_Ladder</t>
        </is>
      </c>
    </row>
    <row r="14" ht="17.5" customHeight="1">
      <c r="A14" s="43" t="inlineStr">
        <is>
          <t>One-click upsell</t>
        </is>
      </c>
      <c r="B14" s="41" t="inlineStr">
        <is>
          <t>Place in the one funnel</t>
        </is>
      </c>
      <c r="C14" s="41" t="inlineStr">
        <is>
          <t>Offer_Ladder</t>
        </is>
      </c>
    </row>
    <row r="15" ht="17.5" customHeight="1">
      <c r="A15" s="43" t="inlineStr">
        <is>
          <t>Account upsell</t>
        </is>
      </c>
      <c r="B15" s="41" t="inlineStr">
        <is>
          <t>Place in the one funnel</t>
        </is>
      </c>
      <c r="C15" s="41" t="inlineStr">
        <is>
          <t>Offer_Ladder</t>
        </is>
      </c>
    </row>
    <row r="16" ht="17.5" customHeight="1">
      <c r="A16" s="44" t="inlineStr">
        <is>
          <t>Product add-on</t>
        </is>
      </c>
      <c r="B16" s="41" t="inlineStr">
        <is>
          <t>Place in the one funnel</t>
        </is>
      </c>
      <c r="C16" s="41" t="inlineStr">
        <is>
          <t>Offer_Ladder</t>
        </is>
      </c>
    </row>
    <row r="17" ht="17.5" customHeight="1">
      <c r="A17" s="44" t="inlineStr">
        <is>
          <t>Product</t>
        </is>
      </c>
      <c r="B17" s="41" t="inlineStr">
        <is>
          <t>Place in the one funnel</t>
        </is>
      </c>
      <c r="C17" s="41" t="inlineStr">
        <is>
          <t>Offer_Ladder</t>
        </is>
      </c>
    </row>
    <row r="18" ht="17.5" customHeight="1">
      <c r="A18" s="45" t="inlineStr">
        <is>
          <t>Service</t>
        </is>
      </c>
      <c r="B18" s="41" t="inlineStr">
        <is>
          <t>Place in the one funnel</t>
        </is>
      </c>
      <c r="C18" s="41" t="inlineStr">
        <is>
          <t>Offer_Ladder</t>
        </is>
      </c>
    </row>
    <row r="19" ht="17.5" customHeight="1">
      <c r="A19" s="46" t="inlineStr">
        <is>
          <t>Held</t>
        </is>
      </c>
      <c r="B19" s="41" t="inlineStr">
        <is>
          <t>Place in the one funnel</t>
        </is>
      </c>
      <c r="C19" s="41" t="inlineStr">
        <is>
          <t>Offer_Ladder</t>
        </is>
      </c>
    </row>
    <row r="20" ht="17.5" customHeight="1">
      <c r="A20" s="47" t="inlineStr">
        <is>
          <t>Highest</t>
        </is>
      </c>
      <c r="B20" s="41" t="inlineStr">
        <is>
          <t>Higher is better</t>
        </is>
      </c>
      <c r="C20" s="41" t="inlineStr">
        <is>
          <t>Value_Metric</t>
        </is>
      </c>
    </row>
    <row r="21" ht="17.5" customHeight="1">
      <c r="A21" s="47" t="inlineStr">
        <is>
          <t>Excellent</t>
        </is>
      </c>
      <c r="B21" s="41" t="inlineStr">
        <is>
          <t>Higher is better</t>
        </is>
      </c>
      <c r="C21" s="41" t="inlineStr">
        <is>
          <t>Value_Metric</t>
        </is>
      </c>
    </row>
    <row r="22" ht="17.5" customHeight="1">
      <c r="A22" s="48" t="inlineStr">
        <is>
          <t>High</t>
        </is>
      </c>
      <c r="B22" s="41" t="inlineStr">
        <is>
          <t>Higher is better</t>
        </is>
      </c>
      <c r="C22" s="41" t="inlineStr">
        <is>
          <t>Value_Metric</t>
        </is>
      </c>
    </row>
    <row r="23" ht="17.5" customHeight="1">
      <c r="A23" s="48" t="inlineStr">
        <is>
          <t>Good</t>
        </is>
      </c>
      <c r="B23" s="41" t="inlineStr">
        <is>
          <t>Higher is better</t>
        </is>
      </c>
      <c r="C23" s="41" t="inlineStr">
        <is>
          <t>Value_Metric</t>
        </is>
      </c>
    </row>
    <row r="24" ht="17.5" customHeight="1">
      <c r="A24" s="48" t="inlineStr">
        <is>
          <t>Easy</t>
        </is>
      </c>
      <c r="B24" s="41" t="inlineStr">
        <is>
          <t>Higher is better</t>
        </is>
      </c>
      <c r="C24" s="41" t="inlineStr">
        <is>
          <t>Value_Metric</t>
        </is>
      </c>
    </row>
    <row r="25" ht="17.5" customHeight="1">
      <c r="A25" s="49" t="inlineStr">
        <is>
          <t>Medium</t>
        </is>
      </c>
      <c r="B25" s="41" t="inlineStr">
        <is>
          <t>Higher is better</t>
        </is>
      </c>
      <c r="C25" s="41" t="inlineStr">
        <is>
          <t>Value_Metric</t>
        </is>
      </c>
    </row>
    <row r="26" ht="17.5" customHeight="1">
      <c r="A26" s="50" t="inlineStr">
        <is>
          <t>Low</t>
        </is>
      </c>
      <c r="B26" s="41" t="inlineStr">
        <is>
          <t>Higher is better</t>
        </is>
      </c>
      <c r="C26" s="41" t="inlineStr">
        <is>
          <t>Value_Metric</t>
        </is>
      </c>
    </row>
    <row r="27" ht="17.5" customHeight="1">
      <c r="A27" s="51" t="inlineStr">
        <is>
          <t>Poor</t>
        </is>
      </c>
      <c r="B27" s="41" t="inlineStr">
        <is>
          <t>Higher is better</t>
        </is>
      </c>
      <c r="C27" s="41" t="inlineStr">
        <is>
          <t>Value_Metric</t>
        </is>
      </c>
    </row>
    <row r="28" ht="17.5" customHeight="1">
      <c r="A28" s="47" t="inlineStr">
        <is>
          <t>Green</t>
        </is>
      </c>
      <c r="B28" s="41" t="inlineStr">
        <is>
          <t>Payback band (whole row)</t>
        </is>
      </c>
      <c r="C28" s="41" t="inlineStr">
        <is>
          <t>ROI_Calculator</t>
        </is>
      </c>
    </row>
    <row r="29" ht="17.5" customHeight="1">
      <c r="A29" s="49" t="inlineStr">
        <is>
          <t>Yellow</t>
        </is>
      </c>
      <c r="B29" s="41" t="inlineStr">
        <is>
          <t>Payback band (whole row)</t>
        </is>
      </c>
      <c r="C29" s="41" t="inlineStr">
        <is>
          <t>ROI_Calculator</t>
        </is>
      </c>
    </row>
    <row r="30" ht="17.5" customHeight="1">
      <c r="A30" s="51" t="inlineStr">
        <is>
          <t>Red</t>
        </is>
      </c>
      <c r="B30" s="41" t="inlineStr">
        <is>
          <t>Payback band (whole row)</t>
        </is>
      </c>
      <c r="C30" s="41" t="inlineStr">
        <is>
          <t>ROI_Calculator</t>
        </is>
      </c>
    </row>
  </sheetData>
  <mergeCells count="6">
    <mergeCell ref="A1:C1"/>
    <mergeCell ref="A5:C5"/>
    <mergeCell ref="A6:C6"/>
    <mergeCell ref="A7:C7"/>
    <mergeCell ref="A4:C4"/>
    <mergeCell ref="A2:C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2026-10-19T00:00:00Z</dcterms:created>
  <dcterms:modified xmlns:dcterms="http://purl.org/dc/terms/" xmlns:xsi="http://www.w3.org/2001/XMLSchema-instance" xsi:type="dcterms:W3CDTF">2026-10-19T00:00:00Z</dcterms:modified>
</cp:coreProperties>
</file>