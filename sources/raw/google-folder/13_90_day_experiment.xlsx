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_It_Prove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Week_0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Capacity_and_Scorecard" sheetId="6" state="visible" r:id="rId6"/>
    <sheet xmlns:r="http://schemas.openxmlformats.org/officeDocument/2006/relationships" name="Legend" sheetId="7" state="visible" r:id="rId7"/>
  </sheets>
  <definedNames>
    <definedName name="_xlnm._FilterDatabase" localSheetId="1" hidden="1">'Budget'!$A$5:$F$12</definedName>
    <definedName name="_xlnm.Print_Titles" localSheetId="1">'Budget'!$5:$5</definedName>
    <definedName name="_xlnm.Print_Titles" localSheetId="3">'Tests'!$5:$5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b val="1"/>
      <color rgb="000A1A33"/>
      <sz val="13"/>
    </font>
    <font>
      <name val="Arial"/>
      <color rgb="001B2A44"/>
      <sz val="10"/>
    </font>
    <font>
      <name val="Arial"/>
      <b val="1"/>
      <color rgb="00FFFFFF"/>
      <sz val="10"/>
    </font>
    <font>
      <name val="Arial"/>
      <b val="1"/>
      <color rgb="000A1A33"/>
      <sz val="10"/>
    </font>
    <font>
      <name val="Arial"/>
      <b val="1"/>
      <color rgb="001B2A44"/>
      <sz val="10"/>
    </font>
    <font>
      <name val="Arial"/>
      <color rgb="000000FF"/>
      <sz val="10"/>
    </font>
    <font>
      <name val="Arial"/>
      <b val="1"/>
      <color rgb="000A1A33"/>
      <sz val="12"/>
    </font>
    <font>
      <name val="Arial"/>
      <b val="1"/>
      <i val="1"/>
      <color rgb="007A5B00"/>
      <sz val="10"/>
    </font>
    <font>
      <name val="Arial"/>
      <b val="1"/>
      <color rgb="000B5D2A"/>
      <sz val="10"/>
    </font>
    <font>
      <name val="Arial"/>
      <b val="1"/>
      <color rgb="006B5300"/>
      <sz val="10"/>
    </font>
    <font>
      <name val="Arial"/>
      <b val="1"/>
      <color rgb="008A1C1C"/>
      <sz val="10"/>
    </font>
  </fonts>
  <fills count="13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FFF9DB"/>
        <bgColor rgb="00FFF9DB"/>
      </patternFill>
    </fill>
    <fill>
      <patternFill patternType="solid">
        <fgColor rgb="00DCEBFF"/>
        <bgColor rgb="00DCEBFF"/>
      </patternFill>
    </fill>
    <fill>
      <patternFill patternType="solid">
        <fgColor rgb="00FFF6CC"/>
        <bgColor rgb="00FFF6CC"/>
      </patternFill>
    </fill>
    <fill>
      <patternFill patternType="solid">
        <fgColor rgb="00B7EBC9"/>
        <bgColor rgb="00B7EBC9"/>
      </patternFill>
    </fill>
    <fill>
      <patternFill patternType="solid">
        <fgColor rgb="00FFF1BF"/>
        <bgColor rgb="00FFF1BF"/>
      </patternFill>
    </fill>
    <fill>
      <patternFill patternType="solid">
        <fgColor rgb="00FFCFCF"/>
        <bgColor rgb="00FFCFCF"/>
      </patternFill>
    </fill>
  </fills>
  <borders count="4">
    <border>
      <left/>
      <right/>
      <top/>
      <bottom/>
      <diagonal/>
    </border>
    <border>
      <bottom style="medium">
        <color rgb="001A5CF0"/>
      </bottom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  <border>
      <left style="thin">
        <color rgb="00C9D5EA"/>
      </left>
      <right style="thin">
        <color rgb="00C9D5EA"/>
      </right>
      <top style="medium">
        <color rgb="000A1A33"/>
      </top>
      <bottom style="thin">
        <color rgb="00C9D5E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 indent="1"/>
    </xf>
    <xf numFmtId="0" fontId="0" fillId="0" borderId="1" pivotButton="0" quotePrefix="0" xfId="0"/>
    <xf numFmtId="0" fontId="5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164" fontId="8" fillId="7" borderId="2" applyAlignment="1" pivotButton="0" quotePrefix="0" xfId="0">
      <alignment horizontal="center" vertical="top" wrapText="1"/>
    </xf>
    <xf numFmtId="164" fontId="4" fillId="5" borderId="2" applyAlignment="1" pivotButton="0" quotePrefix="0" xfId="0">
      <alignment horizontal="center" vertical="top" wrapText="1"/>
    </xf>
    <xf numFmtId="9" fontId="4" fillId="5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vertical="top" wrapText="1"/>
    </xf>
    <xf numFmtId="164" fontId="4" fillId="6" borderId="2" applyAlignment="1" pivotButton="0" quotePrefix="0" xfId="0">
      <alignment horizontal="center" vertical="top" wrapText="1"/>
    </xf>
    <xf numFmtId="9" fontId="4" fillId="6" borderId="2" applyAlignment="1" pivotButton="0" quotePrefix="0" xfId="0">
      <alignment horizontal="center" vertical="top" wrapText="1"/>
    </xf>
    <xf numFmtId="0" fontId="6" fillId="3" borderId="3" applyAlignment="1" pivotButton="0" quotePrefix="0" xfId="0">
      <alignment vertical="top" wrapText="1"/>
    </xf>
    <xf numFmtId="164" fontId="7" fillId="3" borderId="3" applyAlignment="1" pivotButton="0" quotePrefix="0" xfId="0">
      <alignment horizontal="center" vertical="top" wrapText="1"/>
    </xf>
    <xf numFmtId="9" fontId="7" fillId="3" borderId="3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2" fillId="3" borderId="0" pivotButton="0" quotePrefix="0" xfId="0"/>
    <xf numFmtId="0" fontId="9" fillId="0" borderId="1" pivotButton="0" quotePrefix="0" xfId="0"/>
    <xf numFmtId="0" fontId="5" fillId="4" borderId="2" pivotButton="0" quotePrefix="0" xfId="0"/>
    <xf numFmtId="0" fontId="7" fillId="8" borderId="2" pivotButton="0" quotePrefix="0" xfId="0"/>
    <xf numFmtId="0" fontId="4" fillId="0" borderId="2" applyAlignment="1" pivotButton="0" quotePrefix="0" xfId="0">
      <alignment vertical="top" wrapText="1"/>
    </xf>
    <xf numFmtId="0" fontId="10" fillId="9" borderId="2" pivotButton="0" quotePrefix="0" xfId="0"/>
    <xf numFmtId="0" fontId="11" fillId="10" borderId="2" pivotButton="0" quotePrefix="0" xfId="0"/>
    <xf numFmtId="0" fontId="12" fillId="11" borderId="2" pivotButton="0" quotePrefix="0" xfId="0"/>
    <xf numFmtId="0" fontId="13" fillId="12" borderId="2" pivotButton="0" quotePrefix="0" xfId="0"/>
  </cellXfs>
  <cellStyles count="1">
    <cellStyle name="Normal" xfId="0" builtinId="0" hidden="0"/>
  </cellStyles>
  <dxfs count="4">
    <dxf>
      <font>
        <color rgb="000B5D2A"/>
      </font>
      <fill>
        <patternFill patternType="solid">
          <fgColor rgb="00B7EBC9"/>
          <bgColor rgb="00B7EBC9"/>
        </patternFill>
      </fill>
    </dxf>
    <dxf>
      <font>
        <color rgb="006B5300"/>
      </font>
      <fill>
        <patternFill patternType="solid">
          <fgColor rgb="00FFF1BF"/>
          <bgColor rgb="00FFF1BF"/>
        </patternFill>
      </fill>
    </dxf>
    <dxf>
      <font>
        <color rgb="008A1C1C"/>
      </font>
      <fill>
        <patternFill patternType="solid">
          <fgColor rgb="00FFCFCF"/>
          <bgColor rgb="00FFCFCF"/>
        </patternFill>
      </fill>
    </dxf>
    <dxf>
      <font>
        <i val="1"/>
        <color rgb="007A5B00"/>
      </font>
      <fill>
        <patternFill patternType="solid">
          <fgColor rgb="00FFF6CC"/>
          <bgColor rgb="00FFF6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v>Meta ads (VSL, scorecard, retargeting)</v>
          </tx>
          <spPr>
            <a:solidFill xmlns:a="http://schemas.openxmlformats.org/drawingml/2006/main">
              <a:srgbClr val="1A5CF0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'Budget'!$B$6:$D$6</f>
            </numRef>
          </val>
        </ser>
        <ser>
          <idx val="1"/>
          <order val="1"/>
          <tx>
            <v>Google Search ads</v>
          </tx>
          <spPr>
            <a:solidFill xmlns:a="http://schemas.openxmlformats.org/drawingml/2006/main">
              <a:srgbClr val="2BD0FF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'Budget'!$B$7:$D$7</f>
            </numRef>
          </val>
        </ser>
        <ser>
          <idx val="2"/>
          <order val="2"/>
          <tx>
            <v>Media buyer plus research strategist</v>
          </tx>
          <spPr>
            <a:solidFill xmlns:a="http://schemas.openxmlformats.org/drawingml/2006/main">
              <a:srgbClr val="F2994A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'Budget'!$B$8:$D$8</f>
            </numRef>
          </val>
        </ser>
        <ser>
          <idx val="3"/>
          <order val="3"/>
          <tx>
            <v>Creative: VSL edit, ad videos</v>
          </tx>
          <spPr>
            <a:solidFill xmlns:a="http://schemas.openxmlformats.org/drawingml/2006/main">
              <a:srgbClr val="9B7BFF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'Budget'!$B$9:$D$9</f>
            </numRef>
          </val>
        </ser>
        <ser>
          <idx val="4"/>
          <order val="4"/>
          <tx>
            <v>Tools: scorecard, geo-grid tracker, call</v>
          </tx>
          <spPr>
            <a:solidFill xmlns:a="http://schemas.openxmlformats.org/drawingml/2006/main">
              <a:srgbClr val="8296BC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'Budget'!$B$10:$D$10</f>
            </numRef>
          </val>
        </ser>
        <ser>
          <idx val="5"/>
          <order val="5"/>
          <tx>
            <v>Reserve: scale the winning hook after da</v>
          </tx>
          <spPr>
            <a:solidFill xmlns:a="http://schemas.openxmlformats.org/drawingml/2006/main">
              <a:srgbClr val="C9D5EA"/>
            </a:solidFill>
            <a:ln xmlns:a="http://schemas.openxmlformats.org/drawingml/2006/main">
              <a:prstDash val="solid"/>
            </a:ln>
          </spPr>
          <cat>
            <numRef>
              <f>'Budget'!$B$5:$D$5</f>
            </numRef>
          </cat>
          <val>
            <numRef>
              <f>'Budget'!$B$11:$D$11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A1A33"/>
    <outlinePr summaryBelow="1" summaryRight="1"/>
    <pageSetUpPr fitToPage="1"/>
  </sheetPr>
  <dimension ref="A1:A10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What It Proves.  Skill phase: Phase 10 (added).  Source: dashboards/10-90-day-experiment.md (Run 2, 2026-10-19).</t>
        </is>
      </c>
    </row>
    <row r="4" ht="22" customHeight="1">
      <c r="A4" s="3" t="inlineStr">
        <is>
          <t>What the experiment has to prove</t>
        </is>
      </c>
    </row>
    <row r="5" ht="32" customHeight="1">
      <c r="A5" s="4" t="inlineStr">
        <is>
          <r>
            <rPr>
              <rFont val="Arial"/>
              <color rgb="001B2A44"/>
              <sz val="10"/>
            </rPr>
            <t xml:space="preserve">1.  </t>
          </r>
          <r>
            <rPr>
              <rFont val="Arial"/>
              <b val="1"/>
              <color rgb="001B2A44"/>
              <sz val="10"/>
            </rPr>
            <t>That home-service owners buy a done-for-you review service from a VSL page without a call,</t>
          </r>
          <r>
            <rPr>
              <rFont val="Arial"/>
              <color rgb="001B2A44"/>
              <sz val="10"/>
            </rPr>
            <t xml:space="preserve"> at $197 a month plus setup (the founder's core hypothesis, now the funnel's design).</t>
          </r>
        </is>
      </c>
    </row>
    <row r="6" ht="18.5" customHeight="1">
      <c r="A6" s="4" t="inlineStr">
        <is>
          <r>
            <rPr>
              <rFont val="Arial"/>
              <color rgb="001B2A44"/>
              <sz val="10"/>
            </rPr>
            <t xml:space="preserve">2.  </t>
          </r>
          <r>
            <rPr>
              <rFont val="Arial"/>
              <b val="1"/>
              <color rgb="001B2A44"/>
              <sz val="10"/>
            </rPr>
            <t>What a paying customer costs,</t>
          </r>
          <r>
            <rPr>
              <rFont val="Arial"/>
              <color rgb="001B2A44"/>
              <sz val="10"/>
            </rPr>
            <t xml:space="preserve"> against the $350 working CAC.</t>
          </r>
        </is>
      </c>
    </row>
    <row r="7" ht="18.5" customHeight="1">
      <c r="A7" s="4" t="inlineStr">
        <is>
          <r>
            <rPr>
              <rFont val="Arial"/>
              <color rgb="001B2A44"/>
              <sz val="10"/>
            </rPr>
            <t xml:space="preserve">3.  </t>
          </r>
          <r>
            <rPr>
              <rFont val="Arial"/>
              <b val="1"/>
              <color rgb="001B2A44"/>
              <sz val="10"/>
            </rPr>
            <t>Which hook leads:</t>
          </r>
          <r>
            <rPr>
              <rFont val="Arial"/>
              <color rgb="001B2A44"/>
              <sz val="10"/>
            </rPr>
            <t xml:space="preserve"> done for you, the personalized request, or every review answered.</t>
          </r>
        </is>
      </c>
    </row>
    <row r="8" ht="18.5" customHeight="1">
      <c r="A8" s="4" t="inlineStr">
        <is>
          <r>
            <rPr>
              <rFont val="Arial"/>
              <color rgb="001B2A44"/>
              <sz val="10"/>
            </rPr>
            <t xml:space="preserve">4.  </t>
          </r>
          <r>
            <rPr>
              <rFont val="Arial"/>
              <b val="1"/>
              <color rgb="001B2A44"/>
              <sz val="10"/>
            </rPr>
            <t>How much the bumpers carry:</t>
          </r>
          <r>
            <rPr>
              <rFont val="Arial"/>
              <color rgb="001B2A44"/>
              <sz val="10"/>
            </rPr>
            <t xml:space="preserve"> the share of buyers who come through a call or the scorecard instead of buying straight from the page.</t>
          </r>
        </is>
      </c>
    </row>
    <row r="9" ht="18.5" customHeight="1">
      <c r="A9" s="4" t="inlineStr">
        <is>
          <r>
            <rPr>
              <rFont val="Arial"/>
              <color rgb="001B2A44"/>
              <sz val="10"/>
            </rPr>
            <t xml:space="preserve">5.  </t>
          </r>
          <r>
            <rPr>
              <rFont val="Arial"/>
              <b val="1"/>
              <color rgb="001B2A44"/>
              <sz val="10"/>
            </rPr>
            <t>Whether the CRM gate costs too many sales.</t>
          </r>
        </is>
      </c>
    </row>
    <row r="10" ht="18.5" customHeight="1">
      <c r="A10" s="4" t="inlineStr">
        <is>
          <r>
            <rPr>
              <rFont val="Arial"/>
              <color rgb="001B2A44"/>
              <sz val="10"/>
            </rPr>
            <t xml:space="preserve">6.  </t>
          </r>
          <r>
            <rPr>
              <rFont val="Arial"/>
              <b val="1"/>
              <color rgb="001B2A44"/>
              <sz val="10"/>
            </rPr>
            <t>Whether personalized requests beat plain ones, and when to send the first ask,</t>
          </r>
          <r>
            <rPr>
              <rFont val="Arial"/>
              <color rgb="001B2A44"/>
              <sz val="10"/>
            </rPr>
            <t xml:space="preserve"> inside real accounts.</t>
          </r>
        </is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F14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Budget.  Skill phase: Phase 10 (added).  Source: dashboards/10-90-day-experiment.md (Run 2, 2026-10-19).</t>
        </is>
      </c>
    </row>
    <row r="4" ht="22" customHeight="1">
      <c r="A4" s="3" t="inlineStr">
        <is>
          <t>The $15,000 allocation (recommendation)</t>
        </is>
      </c>
      <c r="B4" s="5" t="n"/>
      <c r="C4" s="5" t="n"/>
      <c r="D4" s="5" t="n"/>
      <c r="E4" s="5" t="n"/>
      <c r="F4" s="5" t="n"/>
    </row>
    <row r="5" ht="19.5" customHeight="1">
      <c r="A5" s="6" t="inlineStr">
        <is>
          <t>Line</t>
        </is>
      </c>
      <c r="B5" s="6" t="inlineStr">
        <is>
          <t>Month 1</t>
        </is>
      </c>
      <c r="C5" s="6" t="inlineStr">
        <is>
          <t>Month 2</t>
        </is>
      </c>
      <c r="D5" s="6" t="inlineStr">
        <is>
          <t>Month 3</t>
        </is>
      </c>
      <c r="E5" s="6" t="inlineStr">
        <is>
          <t>Total</t>
        </is>
      </c>
      <c r="F5" s="6" t="inlineStr">
        <is>
          <t>Share</t>
        </is>
      </c>
    </row>
    <row r="6" ht="18.5" customHeight="1">
      <c r="A6" s="7" t="inlineStr">
        <is>
          <t>Meta ads (VSL, scorecard, retargeting)</t>
        </is>
      </c>
      <c r="B6" s="8" t="n">
        <v>1500</v>
      </c>
      <c r="C6" s="8" t="n">
        <v>2000</v>
      </c>
      <c r="D6" s="8" t="n">
        <v>2500</v>
      </c>
      <c r="E6" s="9">
        <f>SUM(B6:D6)</f>
        <v>6000</v>
      </c>
      <c r="F6" s="10">
        <f>E6/$E$12</f>
        <v>0.4</v>
      </c>
    </row>
    <row r="7" ht="18.5" customHeight="1">
      <c r="A7" s="11" t="inlineStr">
        <is>
          <t>Google Search ads</t>
        </is>
      </c>
      <c r="B7" s="8" t="n">
        <v>800</v>
      </c>
      <c r="C7" s="8" t="n">
        <v>800</v>
      </c>
      <c r="D7" s="8" t="n">
        <v>800</v>
      </c>
      <c r="E7" s="12">
        <f>SUM(B7:D7)</f>
        <v>2400</v>
      </c>
      <c r="F7" s="13">
        <f>E7/$E$12</f>
        <v>0.16</v>
      </c>
    </row>
    <row r="8" ht="18.5" customHeight="1">
      <c r="A8" s="7" t="inlineStr">
        <is>
          <t>Media buyer plus research strategist</t>
        </is>
      </c>
      <c r="B8" s="8" t="n">
        <v>900</v>
      </c>
      <c r="C8" s="8" t="n">
        <v>900</v>
      </c>
      <c r="D8" s="8" t="n">
        <v>900</v>
      </c>
      <c r="E8" s="9">
        <f>SUM(B8:D8)</f>
        <v>2700</v>
      </c>
      <c r="F8" s="10">
        <f>E8/$E$12</f>
        <v>0.18</v>
      </c>
    </row>
    <row r="9" ht="18.5" customHeight="1">
      <c r="A9" s="11" t="inlineStr">
        <is>
          <t>Creative: VSL edit, ad videos</t>
        </is>
      </c>
      <c r="B9" s="8" t="n">
        <v>1000</v>
      </c>
      <c r="C9" s="8" t="n">
        <v>400</v>
      </c>
      <c r="D9" s="8" t="n">
        <v>400</v>
      </c>
      <c r="E9" s="12">
        <f>SUM(B9:D9)</f>
        <v>1800</v>
      </c>
      <c r="F9" s="13">
        <f>E9/$E$12</f>
        <v>0.12</v>
      </c>
    </row>
    <row r="10" ht="18.5" customHeight="1">
      <c r="A10" s="7" t="inlineStr">
        <is>
          <t>Tools: scorecard, geo-grid tracker, call recording</t>
        </is>
      </c>
      <c r="B10" s="8" t="n">
        <v>200</v>
      </c>
      <c r="C10" s="8" t="n">
        <v>200</v>
      </c>
      <c r="D10" s="8" t="n">
        <v>200</v>
      </c>
      <c r="E10" s="9">
        <f>SUM(B10:D10)</f>
        <v>600</v>
      </c>
      <c r="F10" s="10">
        <f>E10/$E$12</f>
        <v>0.04</v>
      </c>
    </row>
    <row r="11" ht="32" customHeight="1">
      <c r="A11" s="11" t="inlineStr">
        <is>
          <t>Reserve: scale the winning hook after day 60, or fund the founding cohort's setup credits</t>
        </is>
      </c>
      <c r="B11" s="8" t="n">
        <v>0</v>
      </c>
      <c r="C11" s="8" t="n">
        <v>0</v>
      </c>
      <c r="D11" s="8" t="n">
        <v>1500</v>
      </c>
      <c r="E11" s="12">
        <f>SUM(B11:D11)</f>
        <v>1500</v>
      </c>
      <c r="F11" s="13">
        <f>E11/$E$12</f>
        <v>0.1</v>
      </c>
    </row>
    <row r="12" ht="18.5" customHeight="1">
      <c r="A12" s="14" t="inlineStr">
        <is>
          <t>Total</t>
        </is>
      </c>
      <c r="B12" s="15">
        <f>SUM(B6:B11)</f>
        <v>4400</v>
      </c>
      <c r="C12" s="15">
        <f>SUM(C6:C11)</f>
        <v>4300</v>
      </c>
      <c r="D12" s="15">
        <f>SUM(D6:D11)</f>
        <v>6300</v>
      </c>
      <c r="E12" s="15">
        <f>SUM(E6:E11)</f>
        <v>15000</v>
      </c>
      <c r="F12" s="16">
        <f>SUM(F6:F11)</f>
        <v>1</v>
      </c>
    </row>
    <row r="14" ht="32" customHeight="1">
      <c r="A14" s="17" t="inlineStr">
        <is>
          <r>
            <rPr>
              <rFont val="Arial"/>
              <b val="1"/>
              <color rgb="001B2A44"/>
              <sz val="10"/>
            </rPr>
            <t>Not funded:</t>
          </r>
          <r>
            <rPr>
              <rFont val="Arial"/>
              <color rgb="001B2A44"/>
              <sz val="10"/>
            </rPr>
            <t xml:space="preserve"> the creative agency ($7,200 over 90 days, 48% of the budget); SEO at $500 a month (results arrive after the window); the product layer (Phase 11 holds it).</t>
          </r>
        </is>
      </c>
    </row>
  </sheetData>
  <autoFilter ref="A5:F12"/>
  <mergeCells count="4">
    <mergeCell ref="A2:F2"/>
    <mergeCell ref="A14:F14"/>
    <mergeCell ref="A1:F1"/>
    <mergeCell ref="A4:F4"/>
  </mergeCells>
  <printOptions horizontalCentered="1"/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A1A33"/>
    <outlinePr summaryBelow="1" summaryRight="1"/>
    <pageSetUpPr fitToPage="1"/>
  </sheetPr>
  <dimension ref="A1:A10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Week 0.  Skill phase: Phase 10 (added).  Source: dashboards/10-90-day-experiment.md (Run 2, 2026-10-19).</t>
        </is>
      </c>
    </row>
    <row r="4" ht="22" customHeight="1">
      <c r="A4" s="3" t="inlineStr">
        <is>
          <t>Week 0, before any spend</t>
        </is>
      </c>
    </row>
    <row r="5" ht="32" customHeight="1">
      <c r="A5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The offer goes live:</t>
          </r>
          <r>
            <rPr>
              <rFont val="Arial"/>
              <color rgb="001B2A44"/>
              <sz val="10"/>
            </rPr>
            <t xml:space="preserve"> one plan card, add-ons, "three or more locations? Book a call", the paid start and guarantee, "24/7 Support" removed (Phase 9).</t>
          </r>
        </is>
      </c>
    </row>
    <row r="6" ht="32" customHeight="1">
      <c r="A6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The funnel core exists:</t>
          </r>
          <r>
            <rPr>
              <rFont val="Arial"/>
              <color rgb="001B2A44"/>
              <sz val="10"/>
            </rPr>
            <t xml:space="preserve"> VSL, VSL page, FAQ, checkout with qualifier and bump, upsell page, thank-you and booking, call page, scorecard (Phase 8). Built outside this run.</t>
          </r>
        </is>
      </c>
    </row>
    <row r="7" ht="32" customHeight="1">
      <c r="A7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Tracking events:</t>
          </r>
          <r>
            <rPr>
              <rFont val="Arial"/>
              <color rgb="001B2A44"/>
              <sz val="10"/>
            </rPr>
            <t xml:space="preserve"> ad click, VSL page view, video progress (25%, 50%, offer reached), each call to action, checkout start, qualifier answers, purchase, bump, upsell, onboarding booked, software connected, first request sent. UTM tags on every ad.</t>
          </r>
        </is>
      </c>
    </row>
    <row r="8" ht="32" customHeight="1">
      <c r="A8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Proof capture,</t>
          </r>
          <r>
            <rPr>
              <rFont val="Arial"/>
              <color rgb="001B2A44"/>
              <sz val="10"/>
            </rPr>
            <t xml:space="preserve"> before the first customer: the permission clause in the terms; the baseline (Phase 0, Step 0.7); consent for the request-style comparison.</t>
          </r>
        </is>
      </c>
    </row>
    <row r="9" ht="18.5" customHeight="1">
      <c r="A9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Founder capacity:</t>
          </r>
          <r>
            <rPr>
              <rFont val="Arial"/>
              <color rgb="001B2A44"/>
              <sz val="10"/>
            </rPr>
            <t xml:space="preserve"> the most onboarding and sales calls a week the founder can run beside the day job, {TBD}, set before launch.</t>
          </r>
        </is>
      </c>
    </row>
    <row r="10" ht="32" customHeight="1">
      <c r="A10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Decision floors,</t>
          </r>
          <r>
            <rPr>
              <rFont val="Arial"/>
              <color rgb="001B2A44"/>
              <sz val="10"/>
            </rPr>
            <t xml:space="preserve"> set before day 1 and not after seeing data: month-2 retention floor {TBD}; target share of purchases without a call {TBD}.</t>
          </r>
        </is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1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39" customWidth="1" min="4" max="4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Tests.  Skill phase: Phase 10 (added).  Source: dashboards/10-90-day-experiment.md (Run 2, 2026-10-19).</t>
        </is>
      </c>
    </row>
    <row r="4" ht="22" customHeight="1">
      <c r="A4" s="3" t="inlineStr">
        <is>
          <t>The tests (one variable each)</t>
        </is>
      </c>
      <c r="B4" s="5" t="n"/>
      <c r="C4" s="5" t="n"/>
      <c r="D4" s="5" t="n"/>
    </row>
    <row r="5" ht="19.5" customHeight="1">
      <c r="A5" s="6" t="inlineStr">
        <is>
          <t>Test</t>
        </is>
      </c>
      <c r="B5" s="6" t="inlineStr">
        <is>
          <t>Variants</t>
        </is>
      </c>
      <c r="C5" s="6" t="inlineStr">
        <is>
          <t>Measure</t>
        </is>
      </c>
      <c r="D5" s="6" t="inlineStr">
        <is>
          <t>Runs</t>
        </is>
      </c>
    </row>
    <row r="6" ht="45.5" customHeight="1">
      <c r="A6" s="7" t="inlineStr">
        <is>
          <t>Hook</t>
        </is>
      </c>
      <c r="B6" s="18" t="inlineStr">
        <is>
          <t>A "We run your Google reviews from your job software." B "Here's what your customer sees." (the personalized request) C "Every review answered, every job asked."</t>
        </is>
      </c>
      <c r="C6" s="18" t="inlineStr">
        <is>
          <t>Cost per purchase; VSL completion to the offer</t>
        </is>
      </c>
      <c r="D6" s="18" t="inlineStr">
        <is>
          <t>Meta, weeks 1 to 6</t>
        </is>
      </c>
    </row>
    <row r="7" ht="32" customHeight="1">
      <c r="A7" s="11" t="inlineStr">
        <is>
          <t>Entry</t>
        </is>
      </c>
      <c r="B7" s="19" t="inlineStr">
        <is>
          <t>Ads straight to the VSL page against ads to the scorecard first</t>
        </is>
      </c>
      <c r="C7" s="19" t="inlineStr">
        <is>
          <t>Cost per purchase within 30 days of first click</t>
        </is>
      </c>
      <c r="D7" s="19" t="inlineStr">
        <is>
          <t>Meta, weeks 3 to 10</t>
        </is>
      </c>
    </row>
    <row r="8" ht="45.5" customHeight="1">
      <c r="A8" s="7" t="inlineStr">
        <is>
          <t>Request style</t>
        </is>
      </c>
      <c r="B8" s="18" t="inlineStr">
        <is>
          <t>Personalized image against plain text, alternating by customer within each consenting account; every customer is still asked</t>
        </is>
      </c>
      <c r="C8" s="18" t="inlineStr">
        <is>
          <t>Request-to-review rate against the account's baseline</t>
        </is>
      </c>
      <c r="D8" s="18" t="inlineStr">
        <is>
          <t>Inside accounts, 30 days each</t>
        </is>
      </c>
    </row>
    <row r="9" ht="18.5" customHeight="1">
      <c r="A9" s="11" t="inlineStr">
        <is>
          <t>First-ask timing</t>
        </is>
      </c>
      <c r="B9" s="19" t="inlineStr">
        <is>
          <t>Same day as the job against day 3</t>
        </is>
      </c>
      <c r="C9" s="19" t="inlineStr">
        <is>
          <t>Request-to-review rate</t>
        </is>
      </c>
      <c r="D9" s="19" t="inlineStr">
        <is>
          <t>Inside accounts, after the style test</t>
        </is>
      </c>
    </row>
    <row r="10" ht="32" customHeight="1">
      <c r="A10" s="7" t="inlineStr">
        <is>
          <t>Start</t>
        </is>
      </c>
      <c r="B10" s="18" t="inlineStr">
        <is>
          <t>Paid start with guarantee (default). A 15-day trial only if the gate below trips</t>
        </is>
      </c>
      <c r="C10" s="18" t="inlineStr">
        <is>
          <t>Checkout conversion; refunds; unpaid setup hours</t>
        </is>
      </c>
      <c r="D10" s="18" t="inlineStr">
        <is>
          <t>From day 60, if triggered</t>
        </is>
      </c>
    </row>
  </sheetData>
  <mergeCells count="3">
    <mergeCell ref="A1:D1"/>
    <mergeCell ref="A4:D4"/>
    <mergeCell ref="A2:D2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31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2" customWidth="1" min="3" max="3"/>
    <col width="52" customWidth="1" min="4" max="4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Gates.  Skill phase: Phase 10 (added).  Source: dashboards/10-90-day-experiment.md (Run 2, 2026-10-19).</t>
        </is>
      </c>
    </row>
    <row r="4" ht="22" customHeight="1">
      <c r="A4" s="3" t="inlineStr">
        <is>
          <t>Definitions</t>
        </is>
      </c>
      <c r="B4" s="5" t="n"/>
      <c r="C4" s="5" t="n"/>
      <c r="D4" s="5" t="n"/>
    </row>
    <row r="5" ht="18.5" customHeight="1">
      <c r="A5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Paid CAC:</t>
          </r>
          <r>
            <rPr>
              <rFont val="Arial"/>
              <color rgb="001B2A44"/>
              <sz val="10"/>
            </rPr>
            <t xml:space="preserve"> paid media spend ÷ new paying customers from paid channels, by cohort.</t>
          </r>
        </is>
      </c>
    </row>
    <row r="6" ht="18.5" customHeight="1">
      <c r="A6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Self-serve share:</t>
          </r>
          <r>
            <rPr>
              <rFont val="Arial"/>
              <color rgb="001B2A44"/>
              <sz val="10"/>
            </rPr>
            <t xml:space="preserve"> purchases with no sales call before them ÷ all purchases.</t>
          </r>
        </is>
      </c>
    </row>
    <row r="7" ht="18.5" customHeight="1">
      <c r="A7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Payback months:</t>
          </r>
          <r>
            <rPr>
              <rFont val="Arial"/>
              <color rgb="001B2A44"/>
              <sz val="10"/>
            </rPr>
            <t xml:space="preserve"> paid CAC ÷ monthly subscription revenue of the plans bought.</t>
          </r>
        </is>
      </c>
    </row>
    <row r="8" ht="18.5" customHeight="1">
      <c r="A8" s="4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Minimum data before judging an ad set:</t>
          </r>
          <r>
            <rPr>
              <rFont val="Arial"/>
              <color rgb="001B2A44"/>
              <sz val="10"/>
            </rPr>
            <t xml:space="preserve"> about twice the CAC hurdle in spend ($700), a working rule of thumb.</t>
          </r>
        </is>
      </c>
    </row>
    <row r="10" ht="22" customHeight="1">
      <c r="A10" s="3" t="inlineStr">
        <is>
          <t>Gates and decision rules</t>
        </is>
      </c>
      <c r="B10" s="5" t="n"/>
      <c r="C10" s="5" t="n"/>
      <c r="D10" s="5" t="n"/>
    </row>
    <row r="11" ht="32" customHeight="1">
      <c r="A11" s="17" t="inlineStr">
        <is>
          <t>Thresholds come from payback arithmetic on the front-end price ($197 a month), so they hold before any bump or upsell revenue is proven. Recompute at Gate 2 with measured take rates.</t>
        </is>
      </c>
    </row>
    <row r="12" ht="19.5" customHeight="1">
      <c r="A12" s="6" t="inlineStr">
        <is>
          <t>Band</t>
        </is>
      </c>
      <c r="B12" s="6" t="inlineStr">
        <is>
          <t>Payback</t>
        </is>
      </c>
      <c r="C12" s="6" t="inlineStr">
        <is>
          <t>Front-end CAC</t>
        </is>
      </c>
    </row>
    <row r="13" ht="18.5" customHeight="1">
      <c r="A13" s="7" t="inlineStr">
        <is>
          <t>Green</t>
        </is>
      </c>
      <c r="B13" s="18" t="inlineStr">
        <is>
          <t>3 months or less</t>
        </is>
      </c>
      <c r="C13" s="18" t="inlineStr">
        <is>
          <t>$591 or less</t>
        </is>
      </c>
    </row>
    <row r="14" ht="18.5" customHeight="1">
      <c r="A14" s="11" t="inlineStr">
        <is>
          <t>Yellow</t>
        </is>
      </c>
      <c r="B14" s="19" t="inlineStr">
        <is>
          <t>3 to 6 months</t>
        </is>
      </c>
      <c r="C14" s="19" t="inlineStr">
        <is>
          <t>$591 to $1,182</t>
        </is>
      </c>
    </row>
    <row r="15" ht="18.5" customHeight="1">
      <c r="A15" s="7" t="inlineStr">
        <is>
          <t>Red</t>
        </is>
      </c>
      <c r="B15" s="18" t="inlineStr">
        <is>
          <t>More than 6 months</t>
        </is>
      </c>
      <c r="C15" s="18" t="inlineStr">
        <is>
          <t>More than $1,182</t>
        </is>
      </c>
    </row>
    <row r="17" ht="18.5" customHeight="1">
      <c r="A17" s="17" t="inlineStr">
        <is>
          <t>The founder's $350 working CAC sits inside green; reaching it is the stretch goal.</t>
        </is>
      </c>
    </row>
    <row r="18" ht="19.5" customHeight="1">
      <c r="A18" s="6" t="inlineStr">
        <is>
          <t>Gate</t>
        </is>
      </c>
      <c r="B18" s="6" t="inlineStr">
        <is>
          <t>When</t>
        </is>
      </c>
      <c r="C18" s="6" t="inlineStr">
        <is>
          <t>What is known by then</t>
        </is>
      </c>
      <c r="D18" s="6" t="inlineStr">
        <is>
          <t>Decision rule</t>
        </is>
      </c>
    </row>
    <row r="19" ht="59" customHeight="1">
      <c r="A19" s="7" t="inlineStr">
        <is>
          <t>Gate 1</t>
        </is>
      </c>
      <c r="B19" s="18" t="inlineStr">
        <is>
          <t>Day 30</t>
        </is>
      </c>
      <c r="C19" s="18" t="inlineStr">
        <is>
          <t>First purchases; VSL completion; qualifier failure rates; first days-to-first-request</t>
        </is>
      </c>
      <c r="D19" s="18" t="inlineStr">
        <is>
          <t>Red, or no purchase after $1,500 in a channel: change the hook or the VSL opening before spending more. Qualifier failure above {TBD} on the CRM question: name the supported software in every ad</t>
        </is>
      </c>
    </row>
    <row r="20" ht="59" customHeight="1">
      <c r="A20" s="11" t="inlineStr">
        <is>
          <t>Gate 2</t>
        </is>
      </c>
      <c r="B20" s="19" t="inlineStr">
        <is>
          <t>Day 60</t>
        </is>
      </c>
      <c r="C20" s="19" t="inlineStr">
        <is>
          <t>Two cohorts; hook test read; entry test under way; bump and upsell take rates</t>
        </is>
      </c>
      <c r="D20" s="19" t="inlineStr">
        <is>
          <t>Red on a channel: stop it and move its budget. Green and at or below $350: scale with the reserve. Checkout starts high but purchases low, with price or "free trial" named in abandoned-checkout replies: run the Start test</t>
        </is>
      </c>
    </row>
    <row r="21" ht="32" customHeight="1">
      <c r="A21" s="7" t="inlineStr">
        <is>
          <t>Gate 3</t>
        </is>
      </c>
      <c r="B21" s="18" t="inlineStr">
        <is>
          <t>Day 90</t>
        </is>
      </c>
      <c r="C21" s="18" t="inlineStr">
        <is>
          <t>Three cohorts; month-2 retention of cohort 1; self-serve share; request-style results</t>
        </is>
      </c>
      <c r="D21" s="18" t="inlineStr">
        <is>
          <t>Success and stop criteria below</t>
        </is>
      </c>
    </row>
    <row r="24" ht="22" customHeight="1">
      <c r="A24" s="3" t="inlineStr">
        <is>
          <t>Success and stop criteria</t>
        </is>
      </c>
      <c r="B24" s="5" t="n"/>
      <c r="C24" s="5" t="n"/>
      <c r="D24" s="5" t="n"/>
    </row>
    <row r="25" ht="18.5" customHeight="1">
      <c r="A25" s="17" t="inlineStr">
        <is>
          <r>
            <rPr>
              <rFont val="Arial"/>
              <b val="1"/>
              <color rgb="001B2A44"/>
              <sz val="10"/>
            </rPr>
            <t>Success at day 90</t>
          </r>
          <r>
            <rPr>
              <rFont val="Arial"/>
              <color rgb="001B2A44"/>
              <sz val="10"/>
            </rPr>
            <t xml:space="preserve"> (all four):</t>
          </r>
        </is>
      </c>
    </row>
    <row r="26" ht="18.5" customHeight="1">
      <c r="A26" s="4" t="inlineStr">
        <is>
          <t>1.  Blended paid CAC in green.</t>
        </is>
      </c>
    </row>
    <row r="27" ht="18.5" customHeight="1">
      <c r="A27" s="4" t="inlineStr">
        <is>
          <t>2.  Self-serve share at or above the floor set in week 0.</t>
        </is>
      </c>
    </row>
    <row r="28" ht="18.5" customHeight="1">
      <c r="A28" s="4" t="inlineStr">
        <is>
          <t>3.  Median days from software connection to first request of 7 or fewer (the guarantee holds).</t>
        </is>
      </c>
    </row>
    <row r="29" ht="18.5" customHeight="1">
      <c r="A29" s="4" t="inlineStr">
        <is>
          <t>4.  Month-2 retention of the first cohort at or above the floor set in week 0.</t>
        </is>
      </c>
    </row>
    <row r="30" ht="32" customHeight="1">
      <c r="A30" s="17" t="inlineStr">
        <is>
          <r>
            <rPr>
              <rFont val="Arial"/>
              <b val="1"/>
              <color rgb="001B2A44"/>
              <sz val="10"/>
            </rPr>
            <t>Stop paid media</t>
          </r>
          <r>
            <rPr>
              <rFont val="Arial"/>
              <color rgb="001B2A44"/>
              <sz val="10"/>
            </rPr>
            <t xml:space="preserve"> if no channel reaches yellow by day 60. Put the remaining budget into the founding cohort's results and the scorecard list, and rework the VSL and offer before spending on ads again.</t>
          </r>
        </is>
      </c>
    </row>
    <row r="31" ht="32" customHeight="1">
      <c r="A31" s="17" t="inlineStr">
        <is>
          <r>
            <rPr>
              <rFont val="Arial"/>
              <b val="1"/>
              <color rgb="001B2A44"/>
              <sz val="10"/>
            </rPr>
            <t>Stop selling without a call</t>
          </r>
          <r>
            <rPr>
              <rFont val="Arial"/>
              <color rgb="001B2A44"/>
              <sz val="10"/>
            </rPr>
            <t xml:space="preserve"> if the self-serve share is below half the floor at day 60 and call-to-purchase is green: the funnel keeps the VSL, but "Book a call" becomes the primary call to action until the page is reworked.</t>
          </r>
        </is>
      </c>
    </row>
  </sheetData>
  <mergeCells count="18">
    <mergeCell ref="A1:D1"/>
    <mergeCell ref="A5:D5"/>
    <mergeCell ref="A17:D17"/>
    <mergeCell ref="A27:D27"/>
    <mergeCell ref="A8:D8"/>
    <mergeCell ref="A31:D31"/>
    <mergeCell ref="A6:D6"/>
    <mergeCell ref="A4:D4"/>
    <mergeCell ref="A26:D26"/>
    <mergeCell ref="A30:D30"/>
    <mergeCell ref="A29:D29"/>
    <mergeCell ref="A7:D7"/>
    <mergeCell ref="A25:D25"/>
    <mergeCell ref="A24:D24"/>
    <mergeCell ref="A2:D2"/>
    <mergeCell ref="A11:D11"/>
    <mergeCell ref="A10:D10"/>
    <mergeCell ref="A28:D28"/>
  </mergeCells>
  <conditionalFormatting sqref="A13:C15">
    <cfRule type="expression" priority="1" dxfId="0">
      <formula>TRIM($A13)="Green"</formula>
    </cfRule>
    <cfRule type="expression" priority="2" dxfId="1">
      <formula>TRIM($A13)="Yellow"</formula>
    </cfRule>
    <cfRule type="expression" priority="3" dxfId="2">
      <formula>TRIM($A13)="Red"</formula>
    </cfRule>
  </conditionalFormatting>
  <conditionalFormatting sqref="A19:D21">
    <cfRule type="expression" priority="4" dxfId="3" stopIfTrue="1">
      <formula>ISNUMBER(SEARCH("{TBD}",A19))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0A1A33"/>
    <outlinePr summaryBelow="1" summaryRight="1"/>
    <pageSetUpPr fitToPage="1"/>
  </sheetPr>
  <dimension ref="A1:A8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Rempo go-to-market  ·  90-Day Experiment</t>
        </is>
      </c>
    </row>
    <row r="2" ht="16" customHeight="1">
      <c r="A2" s="2" t="inlineStr">
        <is>
          <t>Capacity and Scorecard.  Skill phase: Phase 10 (added).  Source: dashboards/10-90-day-experiment.md (Run 2, 2026-10-19).</t>
        </is>
      </c>
    </row>
    <row r="4" ht="22" customHeight="1">
      <c r="A4" s="3" t="inlineStr">
        <is>
          <t>Capacity rule</t>
        </is>
      </c>
    </row>
    <row r="5" ht="45.5" customHeight="1">
      <c r="A5" s="17" t="inlineStr">
        <is>
          <t>When booked onboarding and sales calls reach the founder's weekly cap, stop increasing ad spend and route the overflow to assistant-led onboarding: a recorded walkthrough plus a call with the assistant. If assistant-led onboarding activates accounts as well as the founder's calls, the cap stops limiting growth.</t>
        </is>
      </c>
    </row>
    <row r="7" ht="22" customHeight="1">
      <c r="A7" s="3" t="inlineStr">
        <is>
          <t>Weekly scorecard</t>
        </is>
      </c>
    </row>
    <row r="8" ht="59" customHeight="1">
      <c r="A8" s="17" t="inlineStr">
        <is>
          <t>Spend by channel; click-through rate; cost per VSL page visit; VSL completion to the offer; clicks on each call to action; checkout starts; qualifier failures by question; purchases; self-serve share; bump and upsell take rates; calls booked, held, and converted; scorecard opt-ins and purchases from the list; paid CAC and payback band; onboarding booked within 24 hours; days to first request; ask coverage; reply coverage; request-to-review rate by style and timing; month-2 retention once cohort 1 reaches it; founder hours on calls.</t>
        </is>
      </c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 ht="30" customHeight="1">
      <c r="A1" s="1" t="inlineStr">
        <is>
          <t>Rempo go-to-market  ·  90-Day Experiment</t>
        </is>
      </c>
    </row>
    <row r="2">
      <c r="A2" s="20" t="inlineStr">
        <is>
          <t>Legend: what the colors mean, and the dropdown lists</t>
        </is>
      </c>
    </row>
    <row r="4" ht="28" customHeight="1">
      <c r="A4" s="17" t="inlineStr">
        <is>
          <t>•  Colors are conditional-formatting rules, not painted cells: change a value, or pick another option from a dropdown, and the color follows.</t>
        </is>
      </c>
    </row>
    <row r="5" ht="28" customHeight="1">
      <c r="A5" s="17" t="inlineStr">
        <is>
          <t>•  Header rows are royal blue. Rempo's own row or column is tinted brand blue, so it is easy to find in every comparison.</t>
        </is>
      </c>
    </row>
    <row r="6" ht="28" customHeight="1">
      <c r="A6" s="17" t="inlineStr">
        <is>
          <t>•  Orange marks the done-for-you service (the front-end offer and its upsells); violet marks the product layer behind it.</t>
        </is>
      </c>
    </row>
    <row r="7" ht="28" customHeight="1">
      <c r="A7" s="17" t="inlineStr">
        <is>
          <t>•  Blue numbers on a pale yellow fill are inputs you can change; black numbers are formulas and recalculate.</t>
        </is>
      </c>
    </row>
    <row r="9">
      <c r="A9" s="21" t="inlineStr">
        <is>
          <t>Colors used in this workbook</t>
        </is>
      </c>
      <c r="B9" s="5" t="n"/>
      <c r="C9" s="5" t="n"/>
    </row>
    <row r="10">
      <c r="A10" s="22" t="inlineStr">
        <is>
          <t>Looks like</t>
        </is>
      </c>
      <c r="B10" s="22" t="inlineStr">
        <is>
          <t>Means</t>
        </is>
      </c>
      <c r="C10" s="22" t="inlineStr">
        <is>
          <t>Where</t>
        </is>
      </c>
    </row>
    <row r="11" ht="17.5" customHeight="1">
      <c r="A11" s="23" t="inlineStr">
        <is>
          <t>Rempo</t>
        </is>
      </c>
      <c r="B11" s="24" t="inlineStr">
        <is>
          <t>Rempo's own row or column</t>
        </is>
      </c>
      <c r="C11" s="24" t="inlineStr">
        <is>
          <t>Every comparison table</t>
        </is>
      </c>
    </row>
    <row r="12" ht="17.5" customHeight="1">
      <c r="A12" s="25" t="inlineStr">
        <is>
          <t>{TBD}</t>
        </is>
      </c>
      <c r="B12" s="24" t="inlineStr">
        <is>
          <t>Unknown until Rempo has its own data. Never invented.</t>
        </is>
      </c>
      <c r="C12" s="24" t="inlineStr">
        <is>
          <t>Any cell; the color clears when the text is replaced</t>
        </is>
      </c>
    </row>
    <row r="13" ht="17.5" customHeight="1">
      <c r="A13" s="26" t="inlineStr">
        <is>
          <t>Green</t>
        </is>
      </c>
      <c r="B13" s="24" t="inlineStr">
        <is>
          <t>Payback band (whole row)</t>
        </is>
      </c>
      <c r="C13" s="24" t="inlineStr">
        <is>
          <t>Gates</t>
        </is>
      </c>
    </row>
    <row r="14" ht="17.5" customHeight="1">
      <c r="A14" s="27" t="inlineStr">
        <is>
          <t>Yellow</t>
        </is>
      </c>
      <c r="B14" s="24" t="inlineStr">
        <is>
          <t>Payback band (whole row)</t>
        </is>
      </c>
      <c r="C14" s="24" t="inlineStr">
        <is>
          <t>Gates</t>
        </is>
      </c>
    </row>
    <row r="15" ht="17.5" customHeight="1">
      <c r="A15" s="28" t="inlineStr">
        <is>
          <t>Red</t>
        </is>
      </c>
      <c r="B15" s="24" t="inlineStr">
        <is>
          <t>Payback band (whole row)</t>
        </is>
      </c>
      <c r="C15" s="24" t="inlineStr">
        <is>
          <t>Gates</t>
        </is>
      </c>
    </row>
  </sheetData>
  <mergeCells count="6">
    <mergeCell ref="A1:C1"/>
    <mergeCell ref="A5:C5"/>
    <mergeCell ref="A6:C6"/>
    <mergeCell ref="A7:C7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